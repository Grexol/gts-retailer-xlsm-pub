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LGw7u" reservationPassword="D853"/>
  <workbookPr backupFile="1" codeName="ThisWorkbook" defaultThemeVersion="124226"/>
  <bookViews>
    <workbookView xWindow="45" yWindow="75" windowWidth="5865" windowHeight="7380" tabRatio="452"/>
  </bookViews>
  <sheets>
    <sheet name="RETAILER" sheetId="1" r:id="rId1"/>
  </sheets>
  <definedNames>
    <definedName name="_xlnm._FilterDatabase" localSheetId="0" hidden="1">RETAILER!$D$6:$D$18</definedName>
  </definedNames>
  <calcPr calcId="124519"/>
</workbook>
</file>

<file path=xl/calcChain.xml><?xml version="1.0" encoding="utf-8"?>
<calcChain xmlns="http://schemas.openxmlformats.org/spreadsheetml/2006/main">
  <c r="C12" i="1"/>
  <c r="C11"/>
  <c r="C10"/>
  <c r="C17"/>
  <c r="C16"/>
  <c r="C15"/>
  <c r="C14"/>
  <c r="C13"/>
  <c r="C9"/>
  <c r="C8"/>
  <c r="C7"/>
  <c r="C6"/>
  <c r="C5"/>
  <c r="G13"/>
  <c r="G9"/>
  <c r="G17"/>
  <c r="G16"/>
  <c r="G15"/>
  <c r="G14"/>
  <c r="H22"/>
  <c r="G12"/>
  <c r="G10"/>
  <c r="E26"/>
  <c r="E28"/>
  <c r="C25"/>
  <c r="C26"/>
  <c r="C27"/>
  <c r="C28"/>
  <c r="C24"/>
  <c r="C18"/>
  <c r="U52"/>
  <c r="V52" s="1"/>
  <c r="S52"/>
  <c r="T52" s="1"/>
  <c r="U51"/>
  <c r="V51" s="1"/>
  <c r="S51"/>
  <c r="T51" s="1"/>
  <c r="K45"/>
  <c r="L45" s="1"/>
  <c r="N45" s="1"/>
  <c r="O45" s="1"/>
  <c r="U50"/>
  <c r="V50" s="1"/>
  <c r="S50"/>
  <c r="T50" s="1"/>
  <c r="K44"/>
  <c r="L44" s="1"/>
  <c r="N44" s="1"/>
  <c r="O44" s="1"/>
  <c r="U49"/>
  <c r="V49" s="1"/>
  <c r="S49"/>
  <c r="T49" s="1"/>
  <c r="K18"/>
  <c r="L18" s="1"/>
  <c r="N18" s="1"/>
  <c r="O18" s="1"/>
  <c r="U48"/>
  <c r="V48" s="1"/>
  <c r="S48"/>
  <c r="T48"/>
  <c r="K42"/>
  <c r="L42"/>
  <c r="N42" s="1"/>
  <c r="O42" s="1"/>
  <c r="U47"/>
  <c r="V47" s="1"/>
  <c r="S47"/>
  <c r="T47"/>
  <c r="K41"/>
  <c r="L41"/>
  <c r="N41" s="1"/>
  <c r="O41" s="1"/>
  <c r="U46"/>
  <c r="V46" s="1"/>
  <c r="S46"/>
  <c r="T46"/>
  <c r="K40"/>
  <c r="L40"/>
  <c r="N40" s="1"/>
  <c r="O40" s="1"/>
  <c r="U45"/>
  <c r="V45" s="1"/>
  <c r="S45"/>
  <c r="T45"/>
  <c r="K39"/>
  <c r="L39"/>
  <c r="U44"/>
  <c r="V44" s="1"/>
  <c r="S44"/>
  <c r="T44"/>
  <c r="K38"/>
  <c r="L38"/>
  <c r="N38" s="1"/>
  <c r="O38" s="1"/>
  <c r="U43"/>
  <c r="V43" s="1"/>
  <c r="S43"/>
  <c r="T43"/>
  <c r="K37"/>
  <c r="L37"/>
  <c r="N37" s="1"/>
  <c r="O37" s="1"/>
  <c r="U42"/>
  <c r="V42" s="1"/>
  <c r="S42"/>
  <c r="T42"/>
  <c r="K36"/>
  <c r="L36"/>
  <c r="N36" s="1"/>
  <c r="O36" s="1"/>
  <c r="U41"/>
  <c r="V41" s="1"/>
  <c r="S41"/>
  <c r="K35"/>
  <c r="L35" s="1"/>
  <c r="N35" s="1"/>
  <c r="O35" s="1"/>
  <c r="U40"/>
  <c r="V40" s="1"/>
  <c r="S40"/>
  <c r="T40" s="1"/>
  <c r="K34"/>
  <c r="L34" s="1"/>
  <c r="N34" s="1"/>
  <c r="O34" s="1"/>
  <c r="U39"/>
  <c r="V39" s="1"/>
  <c r="S39"/>
  <c r="T39" s="1"/>
  <c r="K33"/>
  <c r="L33" s="1"/>
  <c r="N33" s="1"/>
  <c r="O33" s="1"/>
  <c r="U38"/>
  <c r="V38" s="1"/>
  <c r="S38"/>
  <c r="T38" s="1"/>
  <c r="K32"/>
  <c r="L32" s="1"/>
  <c r="N32" s="1"/>
  <c r="O32" s="1"/>
  <c r="U37"/>
  <c r="V37" s="1"/>
  <c r="S37"/>
  <c r="T37" s="1"/>
  <c r="K31"/>
  <c r="L31" s="1"/>
  <c r="N31" s="1"/>
  <c r="O31" s="1"/>
  <c r="U36"/>
  <c r="V36" s="1"/>
  <c r="S36"/>
  <c r="T36" s="1"/>
  <c r="K30"/>
  <c r="L30" s="1"/>
  <c r="N30" s="1"/>
  <c r="O30" s="1"/>
  <c r="U35"/>
  <c r="V35" s="1"/>
  <c r="S35"/>
  <c r="T35" s="1"/>
  <c r="K29"/>
  <c r="L29" s="1"/>
  <c r="N29" s="1"/>
  <c r="O29" s="1"/>
  <c r="U34"/>
  <c r="V34" s="1"/>
  <c r="S34"/>
  <c r="T34" s="1"/>
  <c r="K28"/>
  <c r="L28" s="1"/>
  <c r="N28" s="1"/>
  <c r="O28" s="1"/>
  <c r="U33"/>
  <c r="V33" s="1"/>
  <c r="S33"/>
  <c r="K27"/>
  <c r="L27"/>
  <c r="N27" s="1"/>
  <c r="O27" s="1"/>
  <c r="U32"/>
  <c r="V32" s="1"/>
  <c r="S32"/>
  <c r="T32"/>
  <c r="K26"/>
  <c r="U31"/>
  <c r="V31" s="1"/>
  <c r="S31"/>
  <c r="T31" s="1"/>
  <c r="K25"/>
  <c r="L25" s="1"/>
  <c r="N25" s="1"/>
  <c r="O25" s="1"/>
  <c r="U30"/>
  <c r="V30" s="1"/>
  <c r="S30"/>
  <c r="T30" s="1"/>
  <c r="K24"/>
  <c r="L24" s="1"/>
  <c r="N24" s="1"/>
  <c r="O24" s="1"/>
  <c r="U29"/>
  <c r="V29" s="1"/>
  <c r="S29"/>
  <c r="K23"/>
  <c r="L23"/>
  <c r="N23" s="1"/>
  <c r="O23" s="1"/>
  <c r="U28"/>
  <c r="V28" s="1"/>
  <c r="S28"/>
  <c r="T28"/>
  <c r="K22"/>
  <c r="L22"/>
  <c r="N22" s="1"/>
  <c r="O22" s="1"/>
  <c r="U27"/>
  <c r="V27" s="1"/>
  <c r="S27"/>
  <c r="T27"/>
  <c r="K21"/>
  <c r="L21"/>
  <c r="N21" s="1"/>
  <c r="O21" s="1"/>
  <c r="U26"/>
  <c r="V26" s="1"/>
  <c r="S26"/>
  <c r="T26"/>
  <c r="K20"/>
  <c r="L20"/>
  <c r="N20" s="1"/>
  <c r="O20" s="1"/>
  <c r="U25"/>
  <c r="V25" s="1"/>
  <c r="S25"/>
  <c r="T25"/>
  <c r="K19"/>
  <c r="L19"/>
  <c r="N19" s="1"/>
  <c r="O19" s="1"/>
  <c r="U24"/>
  <c r="V24" s="1"/>
  <c r="S24"/>
  <c r="T24" s="1"/>
  <c r="U23"/>
  <c r="V23" s="1"/>
  <c r="S23"/>
  <c r="T23" s="1"/>
  <c r="K17"/>
  <c r="L17" s="1"/>
  <c r="N17" s="1"/>
  <c r="O17" s="1"/>
  <c r="U22"/>
  <c r="V22" s="1"/>
  <c r="S22"/>
  <c r="T22" s="1"/>
  <c r="K16"/>
  <c r="L16" s="1"/>
  <c r="N16" s="1"/>
  <c r="O16" s="1"/>
  <c r="U21"/>
  <c r="V21" s="1"/>
  <c r="S21"/>
  <c r="T21" s="1"/>
  <c r="K15"/>
  <c r="L15" s="1"/>
  <c r="N15" s="1"/>
  <c r="O15" s="1"/>
  <c r="U20"/>
  <c r="V20" s="1"/>
  <c r="S20"/>
  <c r="T20" s="1"/>
  <c r="K14"/>
  <c r="L14" s="1"/>
  <c r="N14" s="1"/>
  <c r="O14" s="1"/>
  <c r="T29"/>
  <c r="T33"/>
  <c r="T41"/>
  <c r="U19"/>
  <c r="V19" s="1"/>
  <c r="W19" s="1"/>
  <c r="S19"/>
  <c r="T19"/>
  <c r="K13"/>
  <c r="L13"/>
  <c r="N13" s="1"/>
  <c r="U18"/>
  <c r="V18" s="1"/>
  <c r="S18"/>
  <c r="T18" s="1"/>
  <c r="U17"/>
  <c r="V17" s="1"/>
  <c r="S17"/>
  <c r="T17" s="1"/>
  <c r="G18"/>
  <c r="U16"/>
  <c r="V16" s="1"/>
  <c r="W16" s="1"/>
  <c r="S16"/>
  <c r="T16"/>
  <c r="U15"/>
  <c r="V15" s="1"/>
  <c r="W15" s="1"/>
  <c r="S15"/>
  <c r="T15"/>
  <c r="U14"/>
  <c r="V14" s="1"/>
  <c r="W14" s="1"/>
  <c r="S14"/>
  <c r="T14"/>
  <c r="U13"/>
  <c r="V13" s="1"/>
  <c r="W13" s="1"/>
  <c r="S13"/>
  <c r="T13"/>
  <c r="U12"/>
  <c r="V12" s="1"/>
  <c r="W12" s="1"/>
  <c r="S12"/>
  <c r="T12"/>
  <c r="K12"/>
  <c r="L12"/>
  <c r="N12" s="1"/>
  <c r="O12" s="1"/>
  <c r="G6" s="1"/>
  <c r="U11"/>
  <c r="V11" s="1"/>
  <c r="S11"/>
  <c r="T11" s="1"/>
  <c r="K11"/>
  <c r="L11"/>
  <c r="N11" s="1"/>
  <c r="O11" s="1"/>
  <c r="U10"/>
  <c r="V10" s="1"/>
  <c r="W10" s="1"/>
  <c r="S10"/>
  <c r="T10"/>
  <c r="L10"/>
  <c r="N10"/>
  <c r="U9"/>
  <c r="V9" s="1"/>
  <c r="W9" s="1"/>
  <c r="S9"/>
  <c r="T9"/>
  <c r="K9"/>
  <c r="L9"/>
  <c r="N9" s="1"/>
  <c r="O9" s="1"/>
  <c r="U8"/>
  <c r="V8" s="1"/>
  <c r="W8" s="1"/>
  <c r="S8"/>
  <c r="T8"/>
  <c r="K8"/>
  <c r="L8"/>
  <c r="N8" s="1"/>
  <c r="U7"/>
  <c r="V7" s="1"/>
  <c r="S7"/>
  <c r="T7" s="1"/>
  <c r="K7"/>
  <c r="L7" s="1"/>
  <c r="N7" s="1"/>
  <c r="O7" s="1"/>
  <c r="U6"/>
  <c r="V6" s="1"/>
  <c r="W6" s="1"/>
  <c r="S6"/>
  <c r="T6"/>
  <c r="K6"/>
  <c r="L6"/>
  <c r="N6" s="1"/>
  <c r="O6" s="1"/>
  <c r="U4"/>
  <c r="V4" s="1"/>
  <c r="W4" s="1"/>
  <c r="S4"/>
  <c r="K4"/>
  <c r="L4"/>
  <c r="N4" s="1"/>
  <c r="O4" s="1"/>
  <c r="U3"/>
  <c r="V3" s="1"/>
  <c r="S3"/>
  <c r="T3" s="1"/>
  <c r="K3"/>
  <c r="L3" s="1"/>
  <c r="N3" s="1"/>
  <c r="O3" s="1"/>
  <c r="G5" s="1"/>
  <c r="U2"/>
  <c r="V2" s="1"/>
  <c r="W2" s="1"/>
  <c r="S2"/>
  <c r="T2"/>
  <c r="N2"/>
  <c r="O2"/>
  <c r="K2"/>
  <c r="E2"/>
  <c r="T4"/>
  <c r="N39"/>
  <c r="O39" s="1"/>
  <c r="L26"/>
  <c r="N26" s="1"/>
  <c r="O26" s="1"/>
  <c r="C30"/>
  <c r="G8"/>
  <c r="G7"/>
  <c r="O10"/>
  <c r="W32" l="1"/>
  <c r="Y32"/>
  <c r="W17"/>
  <c r="W52"/>
  <c r="Y26"/>
  <c r="W26"/>
  <c r="W28"/>
  <c r="Y28"/>
  <c r="W42"/>
  <c r="Y42"/>
  <c r="Y44"/>
  <c r="W44"/>
  <c r="W46"/>
  <c r="Y46"/>
  <c r="Y48"/>
  <c r="W48"/>
  <c r="Y25"/>
  <c r="W25"/>
  <c r="W27"/>
  <c r="Y27"/>
  <c r="W41"/>
  <c r="Y41"/>
  <c r="W43"/>
  <c r="Y43"/>
  <c r="Y45"/>
  <c r="W45"/>
  <c r="W47"/>
  <c r="Y47"/>
  <c r="W3"/>
  <c r="W7"/>
  <c r="W11"/>
  <c r="W20"/>
  <c r="Y20"/>
  <c r="W22"/>
  <c r="Y22"/>
  <c r="W29"/>
  <c r="Y29"/>
  <c r="Y30"/>
  <c r="W30"/>
  <c r="W35"/>
  <c r="Y35"/>
  <c r="W37"/>
  <c r="Y37"/>
  <c r="Y39"/>
  <c r="W39"/>
  <c r="W49"/>
  <c r="Y49"/>
  <c r="W51"/>
  <c r="Y51"/>
  <c r="W18"/>
  <c r="O8"/>
  <c r="G11"/>
  <c r="G20" s="1"/>
  <c r="Y21"/>
  <c r="W21"/>
  <c r="Y23"/>
  <c r="W23"/>
  <c r="Y24"/>
  <c r="W24"/>
  <c r="W31"/>
  <c r="Y31"/>
  <c r="Y33"/>
  <c r="W33"/>
  <c r="Y34"/>
  <c r="W34"/>
  <c r="Y36"/>
  <c r="W36"/>
  <c r="Y38"/>
  <c r="W38"/>
  <c r="W40"/>
  <c r="Y40"/>
  <c r="Y50"/>
  <c r="W50"/>
  <c r="G2" l="1"/>
  <c r="G22"/>
  <c r="C31"/>
  <c r="G26"/>
  <c r="G27" s="1"/>
  <c r="D28" s="1"/>
  <c r="H23" l="1"/>
  <c r="E23"/>
  <c r="E24" s="1"/>
  <c r="D24" s="1"/>
</calcChain>
</file>

<file path=xl/comments1.xml><?xml version="1.0" encoding="utf-8"?>
<comments xmlns="http://schemas.openxmlformats.org/spreadsheetml/2006/main">
  <authors>
    <author>AMD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With Range("d5").Validation
    .Delete
    .Add xlValidateList, xlValidAlertStop, xlBetween, "=$M$2:$M$44"
    .InCellDropdown = True
End With</t>
        </r>
      </text>
    </comment>
    <comment ref="D38" authorId="0">
      <text>
        <r>
          <rPr>
            <b/>
            <sz val="9"/>
            <color indexed="81"/>
            <rFont val="Tahoma"/>
            <family val="2"/>
          </rPr>
          <t xml:space="preserve">TOTO: copy this cell containing data vakidation to D5:d17 </t>
        </r>
      </text>
    </comment>
  </commentList>
</comments>
</file>

<file path=xl/sharedStrings.xml><?xml version="1.0" encoding="utf-8"?>
<sst xmlns="http://schemas.openxmlformats.org/spreadsheetml/2006/main" count="178" uniqueCount="112">
  <si>
    <t xml:space="preserve"> </t>
  </si>
  <si>
    <t>ALUGBATE</t>
  </si>
  <si>
    <t>AMPALAYA</t>
  </si>
  <si>
    <t>APALYA talbos</t>
  </si>
  <si>
    <t>BALATONG</t>
  </si>
  <si>
    <t>BALINGHOY</t>
  </si>
  <si>
    <t>BITSWELAS</t>
  </si>
  <si>
    <t>DALUNGYAN</t>
  </si>
  <si>
    <t>GABI</t>
  </si>
  <si>
    <t>KADYOS</t>
  </si>
  <si>
    <t>KALABASA</t>
  </si>
  <si>
    <t>KALAMANSI</t>
  </si>
  <si>
    <t>KAMATIS</t>
  </si>
  <si>
    <t>KAMOTE</t>
  </si>
  <si>
    <t>KANGKONG</t>
  </si>
  <si>
    <t>KINTSAY</t>
  </si>
  <si>
    <t>LABANOS</t>
  </si>
  <si>
    <t>LABONG</t>
  </si>
  <si>
    <t>LAIN GABI</t>
  </si>
  <si>
    <t>LARA</t>
  </si>
  <si>
    <t>LUYA</t>
  </si>
  <si>
    <t>MALUNGGAY</t>
  </si>
  <si>
    <t>MUSTASA</t>
  </si>
  <si>
    <t>OKRA</t>
  </si>
  <si>
    <t>PAKO</t>
  </si>
  <si>
    <t>PAPAYA</t>
  </si>
  <si>
    <t>PATANI</t>
  </si>
  <si>
    <t>PATOLA</t>
  </si>
  <si>
    <t>PECHAY</t>
  </si>
  <si>
    <t>PIPINO</t>
  </si>
  <si>
    <t>PUSO</t>
  </si>
  <si>
    <t>SAMPALOK</t>
  </si>
  <si>
    <t>SAYOTE</t>
  </si>
  <si>
    <t>SIBATSE</t>
  </si>
  <si>
    <t>SIGARILYAS</t>
  </si>
  <si>
    <t>SILABUYO</t>
  </si>
  <si>
    <t>SILIGANG</t>
  </si>
  <si>
    <t>TALBOS SILI</t>
  </si>
  <si>
    <t>TALONG</t>
  </si>
  <si>
    <t>UNTE</t>
  </si>
  <si>
    <t>UPO</t>
  </si>
  <si>
    <t>NIYOG</t>
  </si>
  <si>
    <t>GULAYS</t>
  </si>
  <si>
    <t>BUNDLE</t>
  </si>
  <si>
    <t>PCS</t>
  </si>
  <si>
    <t>RATE</t>
  </si>
  <si>
    <t>PUH</t>
  </si>
  <si>
    <t>2BO</t>
  </si>
  <si>
    <t>KILO SRP</t>
  </si>
  <si>
    <t>SRP</t>
  </si>
  <si>
    <t>QTY</t>
  </si>
  <si>
    <t>AMOUNT</t>
  </si>
  <si>
    <t>-</t>
  </si>
  <si>
    <t>Disount Margin</t>
  </si>
  <si>
    <t>Now()</t>
  </si>
  <si>
    <t>23:30</t>
  </si>
  <si>
    <t>24:00</t>
  </si>
  <si>
    <t>ENTER hrs to Expire</t>
  </si>
  <si>
    <t>EXPIRATION</t>
  </si>
  <si>
    <t>PAST HRS</t>
  </si>
  <si>
    <t>TIME REMAIN</t>
  </si>
  <si>
    <t>will Expire @</t>
  </si>
  <si>
    <t>Pls Enter Pute Date/Time</t>
  </si>
  <si>
    <t>Scaled:</t>
  </si>
  <si>
    <t xml:space="preserve"> _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</si>
  <si>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</si>
  <si>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</si>
  <si>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</si>
  <si>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</si>
  <si>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</si>
  <si>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</si>
  <si>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</si>
  <si>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</si>
  <si>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</si>
  <si>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</si>
  <si>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</si>
  <si>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</si>
  <si>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</si>
  <si>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</si>
  <si>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</si>
  <si>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</si>
  <si>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</si>
  <si>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</si>
  <si>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</si>
  <si>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</si>
  <si>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</si>
  <si>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</si>
  <si>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</si>
  <si>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</si>
  <si>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</si>
  <si>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</si>
  <si>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</si>
  <si>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</si>
  <si>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</si>
  <si>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|</t>
  </si>
  <si>
    <t>hindi</t>
  </si>
  <si>
    <t>Column42</t>
  </si>
  <si>
    <t>ALUGBATI</t>
  </si>
  <si>
    <t>SALUYOT</t>
  </si>
  <si>
    <t>SUKLI</t>
  </si>
  <si>
    <t>COH</t>
  </si>
  <si>
    <t>Den</t>
  </si>
  <si>
    <t>Pcs</t>
  </si>
  <si>
    <t>Amt</t>
  </si>
  <si>
    <t>Costumer</t>
  </si>
  <si>
    <t>Rcv1</t>
  </si>
  <si>
    <t>Rcv2</t>
  </si>
  <si>
    <t>Sukli</t>
  </si>
  <si>
    <t>BAYAD</t>
  </si>
  <si>
    <t>Ba</t>
  </si>
  <si>
    <t>Kg</t>
  </si>
  <si>
    <t>Pc</t>
  </si>
</sst>
</file>

<file path=xl/styles.xml><?xml version="1.0" encoding="utf-8"?>
<styleSheet xmlns="http://schemas.openxmlformats.org/spreadsheetml/2006/main">
  <numFmts count="6">
    <numFmt numFmtId="41" formatCode="_(* #,##0_);_(* \(#,##0\);_(* &quot;-&quot;_);_(@_)"/>
    <numFmt numFmtId="164" formatCode="0.0"/>
    <numFmt numFmtId="165" formatCode="_(* #,##0.0_);_(* \(#,##0.0\);_(* &quot;-&quot;?_);_(@_)"/>
    <numFmt numFmtId="166" formatCode="[$-409]h:mm\ AM/PM;@"/>
    <numFmt numFmtId="167" formatCode="[$-409]m/d/yy\ h:mm\ AM/PM;@"/>
    <numFmt numFmtId="168" formatCode="#,##0.0"/>
  </numFmts>
  <fonts count="86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4"/>
      <name val="Arial Narrow"/>
      <family val="2"/>
    </font>
    <font>
      <b/>
      <sz val="14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sz val="8"/>
      <color indexed="10"/>
      <name val="Arial Narrow"/>
      <family val="2"/>
    </font>
    <font>
      <i/>
      <sz val="10"/>
      <color indexed="16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3" tint="0.39997558519241921"/>
      <name val="Calibri"/>
      <family val="2"/>
      <scheme val="minor"/>
    </font>
    <font>
      <sz val="14"/>
      <color theme="1"/>
      <name val="Arial Narrow"/>
      <family val="2"/>
    </font>
    <font>
      <sz val="12"/>
      <color rgb="FFFFFF00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6"/>
      <color theme="6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12"/>
      <color theme="8" tint="-0.249977111117893"/>
      <name val="Arial Narrow"/>
      <family val="2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sz val="10"/>
      <color rgb="FFFFFF00"/>
      <name val="Arial Narrow"/>
      <family val="2"/>
    </font>
    <font>
      <sz val="8"/>
      <color rgb="FFFFFF00"/>
      <name val="Arial Narrow"/>
      <family val="2"/>
    </font>
    <font>
      <sz val="8"/>
      <color rgb="FFFFFF00"/>
      <name val="Calibri"/>
      <family val="2"/>
      <scheme val="minor"/>
    </font>
    <font>
      <sz val="8"/>
      <color theme="1"/>
      <name val="Arial Narrow"/>
      <family val="2"/>
    </font>
    <font>
      <b/>
      <sz val="9"/>
      <color theme="6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6" tint="-0.499984740745262"/>
      <name val="Arial Narrow"/>
      <family val="2"/>
    </font>
    <font>
      <sz val="10"/>
      <color rgb="FFFF0000"/>
      <name val="Calibri"/>
      <family val="2"/>
      <scheme val="minor"/>
    </font>
    <font>
      <sz val="10"/>
      <color theme="9" tint="-0.499984740745262"/>
      <name val="Arial Narrow"/>
      <family val="2"/>
    </font>
    <font>
      <sz val="10"/>
      <color theme="1"/>
      <name val="Arial Narrow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14"/>
      <color theme="3" tint="0.39997558519241921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14"/>
      <color rgb="FFFFFF00"/>
      <name val="Arial Narrow"/>
      <family val="2"/>
    </font>
    <font>
      <sz val="14"/>
      <color theme="9" tint="-0.499984740745262"/>
      <name val="Arial Narrow"/>
      <family val="2"/>
    </font>
    <font>
      <b/>
      <sz val="14"/>
      <color theme="6" tint="-0.499984740745262"/>
      <name val="Arial Narrow"/>
      <family val="2"/>
    </font>
    <font>
      <sz val="10"/>
      <color theme="4" tint="-0.249977111117893"/>
      <name val="Arial Narrow"/>
      <family val="2"/>
    </font>
    <font>
      <sz val="14"/>
      <color theme="3" tint="0.39997558519241921"/>
      <name val="Arial Narrow"/>
      <family val="2"/>
    </font>
    <font>
      <b/>
      <sz val="18"/>
      <color rgb="FFFFFF00"/>
      <name val="Arial Narrow"/>
      <family val="2"/>
    </font>
    <font>
      <sz val="11"/>
      <color theme="6" tint="-0.499984740745262"/>
      <name val="Agency FB"/>
      <family val="2"/>
    </font>
    <font>
      <b/>
      <sz val="14"/>
      <color theme="0"/>
      <name val="Arial Narrow"/>
      <family val="2"/>
    </font>
    <font>
      <b/>
      <sz val="14"/>
      <color theme="0" tint="-0.14999847407452621"/>
      <name val="Arial Narrow"/>
      <family val="2"/>
    </font>
    <font>
      <b/>
      <sz val="14"/>
      <color theme="0" tint="-4.9989318521683403E-2"/>
      <name val="Arial Narrow"/>
      <family val="2"/>
    </font>
    <font>
      <b/>
      <sz val="14"/>
      <color rgb="FFFFFF00"/>
      <name val="Arial Narrow"/>
      <family val="2"/>
    </font>
    <font>
      <b/>
      <sz val="14"/>
      <color rgb="FF92D050"/>
      <name val="Arial Narrow"/>
      <family val="2"/>
    </font>
    <font>
      <b/>
      <sz val="16"/>
      <color theme="9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rgb="FF305496"/>
      <name val="Calibri"/>
      <family val="2"/>
    </font>
    <font>
      <b/>
      <sz val="18"/>
      <color theme="4" tint="-0.249977111117893"/>
      <name val="Calibri"/>
      <family val="2"/>
      <scheme val="minor"/>
    </font>
    <font>
      <b/>
      <sz val="18"/>
      <color rgb="FF257D4F"/>
      <name val="Calibri"/>
      <family val="2"/>
      <scheme val="minor"/>
    </font>
    <font>
      <sz val="18"/>
      <color rgb="FF257D4F"/>
      <name val="Calibri"/>
      <family val="2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2"/>
      <color rgb="FF257D4F"/>
      <name val="Arial Narrow"/>
      <family val="2"/>
    </font>
    <font>
      <b/>
      <sz val="14"/>
      <color theme="6" tint="0.39997558519241921"/>
      <name val="Arial Narrow"/>
      <family val="2"/>
    </font>
    <font>
      <b/>
      <sz val="14"/>
      <color theme="6" tint="0.59999389629810485"/>
      <name val="Arial Narrow"/>
      <family val="2"/>
    </font>
    <font>
      <b/>
      <sz val="14"/>
      <color theme="1"/>
      <name val="Calibri"/>
      <family val="2"/>
      <scheme val="minor"/>
    </font>
    <font>
      <sz val="12"/>
      <color rgb="FF157557"/>
      <name val="Arial Narrow"/>
      <family val="2"/>
    </font>
    <font>
      <i/>
      <sz val="12"/>
      <color rgb="FFC80819"/>
      <name val="Arial Narrow"/>
      <family val="2"/>
    </font>
    <font>
      <sz val="12"/>
      <color rgb="FFC80819"/>
      <name val="Arial Narrow"/>
      <family val="2"/>
    </font>
    <font>
      <b/>
      <sz val="16"/>
      <color rgb="FFFFFF00"/>
      <name val="Arial Narrow"/>
      <family val="2"/>
    </font>
    <font>
      <sz val="13"/>
      <color theme="1"/>
      <name val="Calibri"/>
      <family val="2"/>
      <scheme val="minor"/>
    </font>
    <font>
      <sz val="13"/>
      <color theme="1"/>
      <name val="Arial Narrow"/>
      <family val="2"/>
    </font>
    <font>
      <sz val="11"/>
      <color indexed="8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1"/>
      <color indexed="17"/>
      <name val="Calibri"/>
      <family val="2"/>
      <scheme val="minor"/>
    </font>
    <font>
      <i/>
      <sz val="13"/>
      <color rgb="FFC80819"/>
      <name val="Arial Narrow"/>
      <family val="2"/>
    </font>
    <font>
      <b/>
      <sz val="12"/>
      <color theme="0" tint="-0.249977111117893"/>
      <name val="Arial Narrow"/>
      <family val="2"/>
    </font>
    <font>
      <b/>
      <sz val="12"/>
      <color theme="0" tint="-0.249977111117893"/>
      <name val="Calibri"/>
      <family val="2"/>
      <scheme val="minor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Calibri"/>
      <family val="2"/>
      <scheme val="minor"/>
    </font>
    <font>
      <b/>
      <sz val="14"/>
      <color theme="0" tint="-0.249977111117893"/>
      <name val="Arial Narrow"/>
      <family val="2"/>
    </font>
    <font>
      <sz val="12"/>
      <color theme="0" tint="-0.249977111117893"/>
      <name val="Calibri"/>
      <family val="2"/>
      <scheme val="minor"/>
    </font>
    <font>
      <sz val="11"/>
      <color theme="0" tint="-0.249977111117893"/>
      <name val="Agency FB"/>
      <family val="2"/>
    </font>
    <font>
      <sz val="8"/>
      <color theme="0" tint="-0.249977111117893"/>
      <name val="Arial Narrow"/>
      <family val="2"/>
    </font>
  </fonts>
  <fills count="21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699648"/>
        <bgColor indexed="64"/>
      </patternFill>
    </fill>
    <fill>
      <patternFill patternType="solid">
        <fgColor rgb="FF257D4F"/>
        <bgColor indexed="64"/>
      </patternFill>
    </fill>
    <fill>
      <patternFill patternType="solid">
        <fgColor rgb="FFBDD5C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40E5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A7F6A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FFE48F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8" fillId="0" borderId="0" xfId="0" applyFont="1"/>
    <xf numFmtId="0" fontId="9" fillId="0" borderId="0" xfId="0" applyFont="1"/>
    <xf numFmtId="0" fontId="9" fillId="0" borderId="1" xfId="0" applyFont="1" applyBorder="1"/>
    <xf numFmtId="0" fontId="9" fillId="0" borderId="2" xfId="0" applyFont="1" applyBorder="1"/>
    <xf numFmtId="0" fontId="10" fillId="0" borderId="0" xfId="0" applyFont="1"/>
    <xf numFmtId="0" fontId="11" fillId="0" borderId="0" xfId="0" applyFont="1" applyFill="1"/>
    <xf numFmtId="0" fontId="11" fillId="0" borderId="2" xfId="0" applyFont="1" applyFill="1" applyBorder="1"/>
    <xf numFmtId="0" fontId="9" fillId="0" borderId="0" xfId="0" applyFont="1" applyBorder="1"/>
    <xf numFmtId="0" fontId="10" fillId="0" borderId="0" xfId="0" applyFont="1" applyBorder="1"/>
    <xf numFmtId="0" fontId="9" fillId="2" borderId="0" xfId="0" applyFont="1" applyFill="1" applyBorder="1"/>
    <xf numFmtId="0" fontId="12" fillId="3" borderId="0" xfId="0" applyFont="1" applyFill="1" applyBorder="1"/>
    <xf numFmtId="0" fontId="13" fillId="0" borderId="0" xfId="0" applyFont="1" applyBorder="1"/>
    <xf numFmtId="0" fontId="14" fillId="2" borderId="0" xfId="0" applyFont="1" applyFill="1" applyBorder="1" applyAlignment="1">
      <alignment vertical="center"/>
    </xf>
    <xf numFmtId="0" fontId="9" fillId="0" borderId="0" xfId="0" applyFont="1" applyFill="1" applyBorder="1"/>
    <xf numFmtId="0" fontId="9" fillId="0" borderId="0" xfId="0" applyFont="1" applyAlignment="1">
      <alignment horizontal="center"/>
    </xf>
    <xf numFmtId="41" fontId="15" fillId="2" borderId="0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9" fillId="0" borderId="4" xfId="0" applyFont="1" applyBorder="1"/>
    <xf numFmtId="0" fontId="9" fillId="0" borderId="0" xfId="0" applyFont="1" applyFill="1"/>
    <xf numFmtId="0" fontId="16" fillId="0" borderId="0" xfId="0" applyFont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7" fillId="3" borderId="0" xfId="0" applyFont="1" applyFill="1" applyBorder="1" applyAlignment="1">
      <alignment horizontal="left"/>
    </xf>
    <xf numFmtId="0" fontId="8" fillId="3" borderId="0" xfId="0" applyFont="1" applyFill="1" applyBorder="1"/>
    <xf numFmtId="0" fontId="18" fillId="0" borderId="2" xfId="0" applyFont="1" applyBorder="1"/>
    <xf numFmtId="0" fontId="19" fillId="0" borderId="2" xfId="0" applyFont="1" applyBorder="1" applyAlignment="1">
      <alignment wrapText="1"/>
    </xf>
    <xf numFmtId="0" fontId="20" fillId="0" borderId="0" xfId="0" applyFont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22" fontId="0" fillId="0" borderId="0" xfId="0" applyNumberFormat="1"/>
    <xf numFmtId="0" fontId="23" fillId="0" borderId="0" xfId="0" applyFont="1" applyAlignment="1">
      <alignment horizontal="center"/>
    </xf>
    <xf numFmtId="49" fontId="23" fillId="0" borderId="0" xfId="0" applyNumberFormat="1" applyFont="1" applyAlignment="1">
      <alignment horizontal="center"/>
    </xf>
    <xf numFmtId="2" fontId="23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49" fontId="25" fillId="4" borderId="5" xfId="0" applyNumberFormat="1" applyFont="1" applyFill="1" applyBorder="1" applyAlignment="1">
      <alignment horizontal="center"/>
    </xf>
    <xf numFmtId="14" fontId="26" fillId="4" borderId="5" xfId="0" applyNumberFormat="1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27" fillId="4" borderId="5" xfId="0" applyFont="1" applyFill="1" applyBorder="1" applyAlignment="1">
      <alignment horizontal="center" vertical="center" wrapText="1"/>
    </xf>
    <xf numFmtId="0" fontId="28" fillId="0" borderId="5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2" fontId="30" fillId="0" borderId="5" xfId="0" applyNumberFormat="1" applyFont="1" applyBorder="1" applyAlignment="1">
      <alignment horizontal="center"/>
    </xf>
    <xf numFmtId="166" fontId="31" fillId="0" borderId="5" xfId="0" applyNumberFormat="1" applyFont="1" applyBorder="1" applyAlignment="1">
      <alignment horizontal="center"/>
    </xf>
    <xf numFmtId="164" fontId="32" fillId="0" borderId="5" xfId="0" applyNumberFormat="1" applyFont="1" applyBorder="1" applyAlignment="1">
      <alignment horizontal="center"/>
    </xf>
    <xf numFmtId="167" fontId="33" fillId="0" borderId="5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18" fillId="5" borderId="5" xfId="0" applyFont="1" applyFill="1" applyBorder="1" applyAlignment="1">
      <alignment horizontal="center" vertical="center" wrapText="1"/>
    </xf>
    <xf numFmtId="167" fontId="34" fillId="5" borderId="5" xfId="0" applyNumberFormat="1" applyFont="1" applyFill="1" applyBorder="1" applyAlignment="1">
      <alignment horizontal="center"/>
    </xf>
    <xf numFmtId="14" fontId="28" fillId="5" borderId="5" xfId="0" applyNumberFormat="1" applyFont="1" applyFill="1" applyBorder="1" applyAlignment="1">
      <alignment horizontal="center"/>
    </xf>
    <xf numFmtId="0" fontId="9" fillId="5" borderId="0" xfId="0" applyFont="1" applyFill="1" applyBorder="1" applyAlignment="1">
      <alignment horizontal="center"/>
    </xf>
    <xf numFmtId="0" fontId="19" fillId="0" borderId="5" xfId="0" applyFont="1" applyFill="1" applyBorder="1" applyAlignment="1">
      <alignment horizontal="center" vertical="center" wrapText="1"/>
    </xf>
    <xf numFmtId="164" fontId="24" fillId="0" borderId="5" xfId="0" applyNumberFormat="1" applyFont="1" applyBorder="1" applyAlignment="1">
      <alignment horizontal="center"/>
    </xf>
    <xf numFmtId="0" fontId="35" fillId="0" borderId="4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 wrapText="1"/>
    </xf>
    <xf numFmtId="164" fontId="39" fillId="0" borderId="5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167" fontId="33" fillId="0" borderId="6" xfId="0" applyNumberFormat="1" applyFont="1" applyFill="1" applyBorder="1" applyAlignment="1">
      <alignment horizontal="center"/>
    </xf>
    <xf numFmtId="2" fontId="30" fillId="0" borderId="6" xfId="0" applyNumberFormat="1" applyFont="1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4" fontId="24" fillId="0" borderId="6" xfId="0" applyNumberFormat="1" applyFont="1" applyBorder="1" applyAlignment="1">
      <alignment horizontal="center"/>
    </xf>
    <xf numFmtId="164" fontId="39" fillId="0" borderId="6" xfId="0" applyNumberFormat="1" applyFont="1" applyBorder="1" applyAlignment="1">
      <alignment horizontal="center"/>
    </xf>
    <xf numFmtId="0" fontId="9" fillId="6" borderId="0" xfId="0" applyFont="1" applyFill="1" applyBorder="1"/>
    <xf numFmtId="0" fontId="9" fillId="6" borderId="0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left"/>
    </xf>
    <xf numFmtId="0" fontId="8" fillId="6" borderId="0" xfId="0" applyFont="1" applyFill="1" applyBorder="1"/>
    <xf numFmtId="0" fontId="11" fillId="6" borderId="0" xfId="0" applyFont="1" applyFill="1" applyBorder="1"/>
    <xf numFmtId="0" fontId="11" fillId="6" borderId="0" xfId="0" applyFont="1" applyFill="1" applyBorder="1" applyAlignment="1">
      <alignment horizontal="left"/>
    </xf>
    <xf numFmtId="0" fontId="12" fillId="6" borderId="0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2" fillId="6" borderId="0" xfId="0" applyFont="1" applyFill="1" applyBorder="1" applyAlignment="1">
      <alignment horizontal="center"/>
    </xf>
    <xf numFmtId="0" fontId="24" fillId="6" borderId="0" xfId="0" applyFont="1" applyFill="1" applyBorder="1" applyAlignment="1">
      <alignment horizontal="center"/>
    </xf>
    <xf numFmtId="0" fontId="40" fillId="6" borderId="0" xfId="0" applyFont="1" applyFill="1" applyBorder="1" applyAlignment="1">
      <alignment horizontal="center"/>
    </xf>
    <xf numFmtId="0" fontId="21" fillId="6" borderId="0" xfId="0" applyFont="1" applyFill="1" applyBorder="1"/>
    <xf numFmtId="0" fontId="41" fillId="6" borderId="0" xfId="0" applyFont="1" applyFill="1" applyBorder="1" applyAlignment="1">
      <alignment horizontal="left"/>
    </xf>
    <xf numFmtId="0" fontId="42" fillId="6" borderId="0" xfId="0" applyFont="1" applyFill="1" applyBorder="1" applyAlignment="1">
      <alignment horizontal="left"/>
    </xf>
    <xf numFmtId="0" fontId="43" fillId="6" borderId="0" xfId="0" applyFont="1" applyFill="1" applyBorder="1" applyAlignment="1">
      <alignment horizontal="left"/>
    </xf>
    <xf numFmtId="0" fontId="44" fillId="6" borderId="0" xfId="0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42" fillId="6" borderId="0" xfId="0" applyFont="1" applyFill="1" applyBorder="1"/>
    <xf numFmtId="0" fontId="36" fillId="0" borderId="0" xfId="0" applyFont="1" applyFill="1" applyBorder="1" applyAlignment="1">
      <alignment horizontal="left"/>
    </xf>
    <xf numFmtId="41" fontId="3" fillId="0" borderId="0" xfId="0" applyNumberFormat="1" applyFont="1" applyBorder="1" applyAlignment="1">
      <alignment horizontal="left"/>
    </xf>
    <xf numFmtId="41" fontId="4" fillId="0" borderId="4" xfId="0" applyNumberFormat="1" applyFont="1" applyBorder="1" applyAlignment="1">
      <alignment horizontal="right"/>
    </xf>
    <xf numFmtId="41" fontId="5" fillId="0" borderId="0" xfId="0" applyNumberFormat="1" applyFont="1" applyBorder="1" applyAlignment="1">
      <alignment horizontal="right"/>
    </xf>
    <xf numFmtId="41" fontId="5" fillId="3" borderId="0" xfId="0" applyNumberFormat="1" applyFont="1" applyFill="1" applyBorder="1" applyAlignment="1">
      <alignment horizontal="right"/>
    </xf>
    <xf numFmtId="41" fontId="2" fillId="2" borderId="0" xfId="0" applyNumberFormat="1" applyFont="1" applyFill="1" applyBorder="1" applyAlignment="1">
      <alignment horizontal="right"/>
    </xf>
    <xf numFmtId="41" fontId="5" fillId="6" borderId="0" xfId="0" applyNumberFormat="1" applyFont="1" applyFill="1" applyBorder="1" applyAlignment="1">
      <alignment horizontal="right"/>
    </xf>
    <xf numFmtId="0" fontId="2" fillId="6" borderId="0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3" fontId="16" fillId="0" borderId="0" xfId="0" applyNumberFormat="1" applyFont="1" applyBorder="1" applyAlignment="1">
      <alignment horizontal="right"/>
    </xf>
    <xf numFmtId="3" fontId="12" fillId="3" borderId="0" xfId="0" applyNumberFormat="1" applyFont="1" applyFill="1" applyBorder="1"/>
    <xf numFmtId="3" fontId="46" fillId="2" borderId="0" xfId="0" applyNumberFormat="1" applyFont="1" applyFill="1" applyBorder="1" applyAlignment="1">
      <alignment vertical="center"/>
    </xf>
    <xf numFmtId="3" fontId="9" fillId="0" borderId="0" xfId="0" applyNumberFormat="1" applyFont="1"/>
    <xf numFmtId="3" fontId="9" fillId="0" borderId="0" xfId="0" applyNumberFormat="1" applyFont="1" applyBorder="1"/>
    <xf numFmtId="3" fontId="9" fillId="6" borderId="0" xfId="0" applyNumberFormat="1" applyFont="1" applyFill="1" applyBorder="1"/>
    <xf numFmtId="3" fontId="11" fillId="6" borderId="0" xfId="0" applyNumberFormat="1" applyFont="1" applyFill="1" applyBorder="1" applyAlignment="1">
      <alignment horizontal="left"/>
    </xf>
    <xf numFmtId="0" fontId="47" fillId="0" borderId="9" xfId="0" applyFont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7" fillId="2" borderId="3" xfId="0" applyFont="1" applyFill="1" applyBorder="1" applyAlignment="1">
      <alignment horizontal="center"/>
    </xf>
    <xf numFmtId="0" fontId="43" fillId="9" borderId="0" xfId="0" applyFont="1" applyFill="1" applyBorder="1" applyAlignment="1">
      <alignment horizontal="left"/>
    </xf>
    <xf numFmtId="0" fontId="49" fillId="10" borderId="0" xfId="0" applyFont="1" applyFill="1" applyBorder="1" applyAlignment="1">
      <alignment horizontal="left"/>
    </xf>
    <xf numFmtId="0" fontId="49" fillId="11" borderId="0" xfId="0" applyFont="1" applyFill="1" applyBorder="1" applyAlignment="1">
      <alignment horizontal="left"/>
    </xf>
    <xf numFmtId="0" fontId="50" fillId="12" borderId="0" xfId="0" applyFont="1" applyFill="1" applyBorder="1" applyAlignment="1">
      <alignment horizontal="left"/>
    </xf>
    <xf numFmtId="0" fontId="43" fillId="13" borderId="0" xfId="0" applyFont="1" applyFill="1" applyBorder="1" applyAlignment="1">
      <alignment horizontal="left"/>
    </xf>
    <xf numFmtId="0" fontId="50" fillId="14" borderId="0" xfId="0" applyFont="1" applyFill="1" applyBorder="1" applyAlignment="1">
      <alignment horizontal="left"/>
    </xf>
    <xf numFmtId="0" fontId="50" fillId="7" borderId="0" xfId="0" applyFont="1" applyFill="1" applyBorder="1"/>
    <xf numFmtId="0" fontId="51" fillId="11" borderId="0" xfId="0" applyFont="1" applyFill="1" applyBorder="1"/>
    <xf numFmtId="0" fontId="52" fillId="15" borderId="0" xfId="0" applyFont="1" applyFill="1" applyBorder="1"/>
    <xf numFmtId="0" fontId="36" fillId="16" borderId="0" xfId="0" applyFont="1" applyFill="1" applyBorder="1"/>
    <xf numFmtId="0" fontId="43" fillId="17" borderId="0" xfId="0" applyFont="1" applyFill="1" applyBorder="1"/>
    <xf numFmtId="0" fontId="36" fillId="17" borderId="0" xfId="0" applyFont="1" applyFill="1" applyBorder="1" applyAlignment="1">
      <alignment horizontal="left"/>
    </xf>
    <xf numFmtId="0" fontId="48" fillId="12" borderId="0" xfId="0" applyFont="1" applyFill="1" applyBorder="1" applyAlignment="1">
      <alignment horizontal="left"/>
    </xf>
    <xf numFmtId="0" fontId="21" fillId="0" borderId="4" xfId="0" applyFont="1" applyBorder="1" applyAlignment="1">
      <alignment horizontal="right" vertical="center"/>
    </xf>
    <xf numFmtId="0" fontId="53" fillId="0" borderId="4" xfId="0" applyFont="1" applyBorder="1" applyAlignment="1">
      <alignment horizontal="center" vertical="center"/>
    </xf>
    <xf numFmtId="41" fontId="47" fillId="3" borderId="3" xfId="0" applyNumberFormat="1" applyFont="1" applyFill="1" applyBorder="1" applyAlignment="1">
      <alignment horizontal="right"/>
    </xf>
    <xf numFmtId="0" fontId="47" fillId="6" borderId="3" xfId="0" applyFont="1" applyFill="1" applyBorder="1" applyAlignment="1">
      <alignment horizontal="center"/>
    </xf>
    <xf numFmtId="14" fontId="28" fillId="5" borderId="6" xfId="0" applyNumberFormat="1" applyFont="1" applyFill="1" applyBorder="1" applyAlignment="1">
      <alignment horizontal="center"/>
    </xf>
    <xf numFmtId="14" fontId="26" fillId="4" borderId="6" xfId="0" applyNumberFormat="1" applyFont="1" applyFill="1" applyBorder="1" applyAlignment="1">
      <alignment horizontal="center"/>
    </xf>
    <xf numFmtId="14" fontId="28" fillId="5" borderId="10" xfId="0" applyNumberFormat="1" applyFont="1" applyFill="1" applyBorder="1" applyAlignment="1">
      <alignment horizontal="center"/>
    </xf>
    <xf numFmtId="14" fontId="26" fillId="4" borderId="10" xfId="0" applyNumberFormat="1" applyFont="1" applyFill="1" applyBorder="1" applyAlignment="1">
      <alignment horizontal="center"/>
    </xf>
    <xf numFmtId="167" fontId="33" fillId="0" borderId="10" xfId="0" applyNumberFormat="1" applyFont="1" applyFill="1" applyBorder="1" applyAlignment="1">
      <alignment horizontal="center"/>
    </xf>
    <xf numFmtId="2" fontId="30" fillId="0" borderId="10" xfId="0" applyNumberFormat="1" applyFont="1" applyBorder="1" applyAlignment="1">
      <alignment horizontal="center"/>
    </xf>
    <xf numFmtId="166" fontId="31" fillId="0" borderId="10" xfId="0" applyNumberFormat="1" applyFont="1" applyBorder="1" applyAlignment="1">
      <alignment horizontal="center"/>
    </xf>
    <xf numFmtId="164" fontId="24" fillId="0" borderId="10" xfId="0" applyNumberFormat="1" applyFont="1" applyBorder="1" applyAlignment="1">
      <alignment horizontal="center"/>
    </xf>
    <xf numFmtId="164" fontId="39" fillId="0" borderId="10" xfId="0" applyNumberFormat="1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54" fillId="0" borderId="1" xfId="0" applyFont="1" applyBorder="1"/>
    <xf numFmtId="0" fontId="55" fillId="8" borderId="11" xfId="0" applyFont="1" applyFill="1" applyBorder="1"/>
    <xf numFmtId="0" fontId="54" fillId="0" borderId="12" xfId="0" applyFont="1" applyBorder="1"/>
    <xf numFmtId="0" fontId="56" fillId="18" borderId="13" xfId="0" applyFont="1" applyFill="1" applyBorder="1"/>
    <xf numFmtId="0" fontId="54" fillId="0" borderId="0" xfId="0" applyFont="1"/>
    <xf numFmtId="3" fontId="57" fillId="0" borderId="13" xfId="0" applyNumberFormat="1" applyFont="1" applyBorder="1"/>
    <xf numFmtId="3" fontId="58" fillId="0" borderId="14" xfId="0" applyNumberFormat="1" applyFont="1" applyBorder="1"/>
    <xf numFmtId="0" fontId="59" fillId="19" borderId="14" xfId="0" applyFont="1" applyFill="1" applyBorder="1"/>
    <xf numFmtId="0" fontId="0" fillId="0" borderId="15" xfId="0" applyBorder="1"/>
    <xf numFmtId="3" fontId="60" fillId="0" borderId="0" xfId="0" applyNumberFormat="1" applyFont="1"/>
    <xf numFmtId="3" fontId="60" fillId="0" borderId="0" xfId="0" applyNumberFormat="1" applyFont="1" applyAlignment="1">
      <alignment horizontal="right"/>
    </xf>
    <xf numFmtId="3" fontId="61" fillId="0" borderId="16" xfId="0" applyNumberFormat="1" applyFont="1" applyBorder="1"/>
    <xf numFmtId="0" fontId="2" fillId="0" borderId="0" xfId="0" applyFont="1" applyAlignment="1">
      <alignment horizontal="left"/>
    </xf>
    <xf numFmtId="164" fontId="11" fillId="0" borderId="0" xfId="0" applyNumberFormat="1" applyFont="1"/>
    <xf numFmtId="168" fontId="63" fillId="0" borderId="15" xfId="0" applyNumberFormat="1" applyFont="1" applyFill="1" applyBorder="1"/>
    <xf numFmtId="0" fontId="2" fillId="0" borderId="0" xfId="0" applyFont="1" applyAlignment="1">
      <alignment horizontal="center"/>
    </xf>
    <xf numFmtId="0" fontId="0" fillId="2" borderId="0" xfId="0" applyFill="1"/>
    <xf numFmtId="168" fontId="64" fillId="2" borderId="0" xfId="0" applyNumberFormat="1" applyFont="1" applyFill="1"/>
    <xf numFmtId="0" fontId="28" fillId="0" borderId="0" xfId="0" applyFont="1" applyFill="1" applyAlignment="1">
      <alignment horizontal="right"/>
    </xf>
    <xf numFmtId="0" fontId="0" fillId="0" borderId="1" xfId="0" applyBorder="1"/>
    <xf numFmtId="0" fontId="8" fillId="0" borderId="1" xfId="0" applyFont="1" applyBorder="1" applyAlignment="1">
      <alignment horizontal="left"/>
    </xf>
    <xf numFmtId="0" fontId="8" fillId="0" borderId="1" xfId="0" applyFont="1" applyBorder="1"/>
    <xf numFmtId="3" fontId="9" fillId="0" borderId="1" xfId="0" applyNumberFormat="1" applyFont="1" applyBorder="1"/>
    <xf numFmtId="0" fontId="47" fillId="0" borderId="0" xfId="0" applyFont="1" applyBorder="1" applyAlignment="1">
      <alignment horizontal="center"/>
    </xf>
    <xf numFmtId="0" fontId="8" fillId="0" borderId="0" xfId="0" applyFont="1" applyBorder="1" applyAlignment="1">
      <alignment horizontal="left"/>
    </xf>
    <xf numFmtId="0" fontId="8" fillId="0" borderId="0" xfId="0" applyFont="1" applyBorder="1"/>
    <xf numFmtId="41" fontId="4" fillId="0" borderId="0" xfId="0" applyNumberFormat="1" applyFont="1" applyBorder="1" applyAlignment="1">
      <alignment horizontal="right"/>
    </xf>
    <xf numFmtId="0" fontId="12" fillId="0" borderId="0" xfId="0" applyFont="1" applyFill="1" applyBorder="1"/>
    <xf numFmtId="41" fontId="3" fillId="0" borderId="0" xfId="0" applyNumberFormat="1" applyFont="1" applyBorder="1" applyAlignment="1">
      <alignment horizontal="right"/>
    </xf>
    <xf numFmtId="168" fontId="65" fillId="3" borderId="0" xfId="0" applyNumberFormat="1" applyFont="1" applyFill="1" applyAlignment="1">
      <alignment horizontal="center"/>
    </xf>
    <xf numFmtId="0" fontId="66" fillId="0" borderId="0" xfId="0" applyFont="1"/>
    <xf numFmtId="39" fontId="67" fillId="0" borderId="0" xfId="0" applyNumberFormat="1" applyFont="1" applyBorder="1" applyAlignment="1">
      <alignment horizontal="right"/>
    </xf>
    <xf numFmtId="39" fontId="68" fillId="0" borderId="0" xfId="0" applyNumberFormat="1" applyFont="1" applyBorder="1" applyAlignment="1">
      <alignment horizontal="right"/>
    </xf>
    <xf numFmtId="39" fontId="69" fillId="0" borderId="0" xfId="0" applyNumberFormat="1" applyFont="1" applyBorder="1" applyAlignment="1">
      <alignment horizontal="right"/>
    </xf>
    <xf numFmtId="39" fontId="5" fillId="0" borderId="0" xfId="0" applyNumberFormat="1" applyFont="1" applyBorder="1" applyAlignment="1">
      <alignment horizontal="right"/>
    </xf>
    <xf numFmtId="4" fontId="36" fillId="0" borderId="0" xfId="0" applyNumberFormat="1" applyFont="1" applyFill="1" applyBorder="1"/>
    <xf numFmtId="4" fontId="70" fillId="2" borderId="4" xfId="0" applyNumberFormat="1" applyFont="1" applyFill="1" applyBorder="1" applyAlignment="1">
      <alignment vertical="center"/>
    </xf>
    <xf numFmtId="0" fontId="71" fillId="0" borderId="0" xfId="0" applyFont="1" applyFill="1" applyBorder="1"/>
    <xf numFmtId="0" fontId="72" fillId="0" borderId="0" xfId="0" applyFont="1"/>
    <xf numFmtId="0" fontId="77" fillId="0" borderId="0" xfId="0" applyFont="1"/>
    <xf numFmtId="0" fontId="78" fillId="20" borderId="7" xfId="0" applyFont="1" applyFill="1" applyBorder="1" applyAlignment="1">
      <alignment horizontal="right"/>
    </xf>
    <xf numFmtId="0" fontId="78" fillId="20" borderId="2" xfId="0" applyFont="1" applyFill="1" applyBorder="1" applyAlignment="1">
      <alignment horizontal="right"/>
    </xf>
    <xf numFmtId="0" fontId="78" fillId="20" borderId="2" xfId="0" applyFont="1" applyFill="1" applyBorder="1" applyAlignment="1"/>
    <xf numFmtId="0" fontId="79" fillId="20" borderId="2" xfId="0" applyFont="1" applyFill="1" applyBorder="1"/>
    <xf numFmtId="0" fontId="79" fillId="20" borderId="2" xfId="0" applyFont="1" applyFill="1" applyBorder="1" applyAlignment="1">
      <alignment horizontal="center"/>
    </xf>
    <xf numFmtId="0" fontId="79" fillId="20" borderId="8" xfId="0" applyFont="1" applyFill="1" applyBorder="1" applyAlignment="1">
      <alignment horizontal="center"/>
    </xf>
    <xf numFmtId="0" fontId="80" fillId="20" borderId="3" xfId="0" applyFont="1" applyFill="1" applyBorder="1" applyAlignment="1">
      <alignment horizontal="right"/>
    </xf>
    <xf numFmtId="0" fontId="80" fillId="20" borderId="0" xfId="0" applyFont="1" applyFill="1" applyBorder="1" applyAlignment="1">
      <alignment horizontal="right"/>
    </xf>
    <xf numFmtId="0" fontId="80" fillId="20" borderId="0" xfId="0" applyFont="1" applyFill="1" applyBorder="1"/>
    <xf numFmtId="0" fontId="81" fillId="20" borderId="0" xfId="0" applyFont="1" applyFill="1" applyBorder="1" applyAlignment="1">
      <alignment horizontal="center"/>
    </xf>
    <xf numFmtId="0" fontId="80" fillId="20" borderId="9" xfId="0" applyFont="1" applyFill="1" applyBorder="1" applyAlignment="1">
      <alignment horizontal="right"/>
    </xf>
    <xf numFmtId="0" fontId="80" fillId="20" borderId="4" xfId="0" applyFont="1" applyFill="1" applyBorder="1" applyAlignment="1">
      <alignment horizontal="right"/>
    </xf>
    <xf numFmtId="0" fontId="80" fillId="20" borderId="4" xfId="0" applyFont="1" applyFill="1" applyBorder="1"/>
    <xf numFmtId="0" fontId="81" fillId="20" borderId="4" xfId="0" applyFont="1" applyFill="1" applyBorder="1" applyAlignment="1">
      <alignment horizontal="center"/>
    </xf>
    <xf numFmtId="0" fontId="81" fillId="20" borderId="0" xfId="0" applyFont="1" applyFill="1" applyBorder="1"/>
    <xf numFmtId="0" fontId="81" fillId="20" borderId="0" xfId="0" quotePrefix="1" applyFont="1" applyFill="1" applyBorder="1"/>
    <xf numFmtId="0" fontId="83" fillId="20" borderId="2" xfId="0" applyFont="1" applyFill="1" applyBorder="1"/>
    <xf numFmtId="0" fontId="84" fillId="20" borderId="7" xfId="0" applyFont="1" applyFill="1" applyBorder="1" applyAlignment="1">
      <alignment horizontal="center"/>
    </xf>
    <xf numFmtId="41" fontId="85" fillId="20" borderId="2" xfId="0" applyNumberFormat="1" applyFont="1" applyFill="1" applyBorder="1" applyAlignment="1">
      <alignment horizontal="right"/>
    </xf>
    <xf numFmtId="41" fontId="82" fillId="20" borderId="0" xfId="0" applyNumberFormat="1" applyFont="1" applyFill="1" applyBorder="1" applyAlignment="1">
      <alignment horizontal="left"/>
    </xf>
    <xf numFmtId="0" fontId="78" fillId="20" borderId="2" xfId="0" applyFont="1" applyFill="1" applyBorder="1"/>
    <xf numFmtId="3" fontId="83" fillId="20" borderId="2" xfId="0" applyNumberFormat="1" applyFont="1" applyFill="1" applyBorder="1"/>
    <xf numFmtId="0" fontId="9" fillId="20" borderId="0" xfId="0" applyFont="1" applyFill="1"/>
    <xf numFmtId="165" fontId="37" fillId="0" borderId="0" xfId="0" applyNumberFormat="1" applyFont="1" applyBorder="1"/>
    <xf numFmtId="3" fontId="45" fillId="0" borderId="0" xfId="0" applyNumberFormat="1" applyFont="1" applyBorder="1"/>
    <xf numFmtId="0" fontId="55" fillId="8" borderId="17" xfId="0" applyFont="1" applyFill="1" applyBorder="1"/>
    <xf numFmtId="0" fontId="54" fillId="0" borderId="0" xfId="0" applyFont="1" applyBorder="1"/>
    <xf numFmtId="3" fontId="62" fillId="0" borderId="18" xfId="0" applyNumberFormat="1" applyFont="1" applyBorder="1"/>
    <xf numFmtId="0" fontId="11" fillId="0" borderId="0" xfId="0" applyFont="1" applyFill="1" applyBorder="1" applyAlignment="1">
      <alignment horizontal="left"/>
    </xf>
    <xf numFmtId="0" fontId="8" fillId="0" borderId="0" xfId="0" applyFont="1" applyBorder="1" applyAlignment="1">
      <alignment horizontal="right"/>
    </xf>
    <xf numFmtId="0" fontId="2" fillId="0" borderId="0" xfId="0" applyFont="1" applyBorder="1" applyAlignment="1">
      <alignment horizontal="left"/>
    </xf>
    <xf numFmtId="3" fontId="9" fillId="0" borderId="0" xfId="0" applyNumberFormat="1" applyFont="1" applyFill="1"/>
    <xf numFmtId="41" fontId="5" fillId="0" borderId="0" xfId="0" applyNumberFormat="1" applyFont="1" applyFill="1" applyBorder="1" applyAlignment="1">
      <alignment horizontal="right"/>
    </xf>
    <xf numFmtId="0" fontId="80" fillId="0" borderId="3" xfId="0" applyFont="1" applyFill="1" applyBorder="1" applyAlignment="1">
      <alignment horizontal="right"/>
    </xf>
    <xf numFmtId="0" fontId="80" fillId="0" borderId="0" xfId="0" applyFont="1" applyFill="1" applyBorder="1" applyAlignment="1">
      <alignment horizontal="right"/>
    </xf>
    <xf numFmtId="0" fontId="81" fillId="0" borderId="0" xfId="0" applyFont="1" applyFill="1" applyBorder="1"/>
    <xf numFmtId="0" fontId="81" fillId="0" borderId="0" xfId="0" applyFont="1" applyFill="1" applyBorder="1" applyAlignment="1">
      <alignment horizontal="center"/>
    </xf>
  </cellXfs>
  <cellStyles count="1">
    <cellStyle name="Normal" xfId="0" builtinId="0"/>
  </cellStyles>
  <dxfs count="1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6" tint="-0.499984740745262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00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33" formatCode="_(* #,##0_);_(* \(#,##0\);_(* &quot;-&quot;_);_(@_)"/>
      <fill>
        <patternFill patternType="solid">
          <fgColor indexed="64"/>
          <bgColor theme="6" tint="0.5999938962981048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33" formatCode="_(* #,##0_);_(* \(#,##0\);_(* &quot;-&quot;_);_(@_)"/>
      <fill>
        <patternFill patternType="solid">
          <fgColor indexed="64"/>
          <bgColor theme="6" tint="0.5999938962981048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33" formatCode="_(* #,##0_);_(* \(#,##0\);_(* &quot;-&quot;_);_(@_)"/>
      <fill>
        <patternFill patternType="solid">
          <fgColor indexed="64"/>
          <bgColor theme="6" tint="0.5999938962981048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33" formatCode="_(* #,##0_);_(* \(#,##0\);_(* &quot;-&quot;_);_(@_)"/>
      <fill>
        <patternFill patternType="solid">
          <fgColor indexed="64"/>
          <bgColor theme="6" tint="0.5999938962981048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33" formatCode="_(* #,##0_);_(* \(#,##0\);_(* &quot;-&quot;_);_(@_)"/>
      <fill>
        <patternFill patternType="solid">
          <fgColor indexed="64"/>
          <bgColor theme="6" tint="0.5999938962981048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33" formatCode="_(* #,##0_);_(* \(#,##0\);_(* &quot;-&quot;_);_(@_)"/>
      <fill>
        <patternFill patternType="solid">
          <fgColor indexed="64"/>
          <bgColor theme="6" tint="0.5999938962981048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33" formatCode="_(* #,##0_);_(* \(#,##0\);_(* &quot;-&quot;_);_(@_)"/>
      <fill>
        <patternFill patternType="solid">
          <fgColor indexed="64"/>
          <bgColor theme="6" tint="0.5999938962981048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3" formatCode="#,##0"/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Agency FB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D7E4BD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32768"/>
  <ax:ocxPr ax:name="Caption" ax:value="+33%"/>
  <ax:ocxPr ax:name="Size" ax:value="1191;688"/>
  <ax:ocxPr ax:name="FontName" ax:value="Arial Narrow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9525</xdr:rowOff>
    </xdr:from>
    <xdr:to>
      <xdr:col>15</xdr:col>
      <xdr:colOff>733425</xdr:colOff>
      <xdr:row>44</xdr:row>
      <xdr:rowOff>180975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981450" y="9525"/>
          <a:ext cx="4991100" cy="10906125"/>
        </a:xfrm>
        <a:prstGeom prst="rect">
          <a:avLst/>
        </a:prstGeom>
        <a:solidFill>
          <a:srgbClr val="D7E4BD">
            <a:alpha val="2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19050</xdr:colOff>
      <xdr:row>5</xdr:row>
      <xdr:rowOff>38100</xdr:rowOff>
    </xdr:from>
    <xdr:to>
      <xdr:col>7</xdr:col>
      <xdr:colOff>95249</xdr:colOff>
      <xdr:row>20</xdr:row>
      <xdr:rowOff>200025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2495550" y="1252538"/>
          <a:ext cx="647699" cy="3805237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166688</xdr:colOff>
      <xdr:row>51</xdr:row>
      <xdr:rowOff>15874</xdr:rowOff>
    </xdr:from>
    <xdr:to>
      <xdr:col>3</xdr:col>
      <xdr:colOff>190500</xdr:colOff>
      <xdr:row>52</xdr:row>
      <xdr:rowOff>7936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309563" y="11310937"/>
          <a:ext cx="714375" cy="190499"/>
        </a:xfrm>
        <a:prstGeom prst="roundRect">
          <a:avLst/>
        </a:prstGeom>
        <a:solidFill>
          <a:srgbClr val="DBE5F1">
            <a:alpha val="40000"/>
          </a:srgbClr>
        </a:solidFill>
        <a:ln>
          <a:solidFill>
            <a:srgbClr val="DDDBB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28575</xdr:colOff>
      <xdr:row>22</xdr:row>
      <xdr:rowOff>9525</xdr:rowOff>
    </xdr:from>
    <xdr:to>
      <xdr:col>6</xdr:col>
      <xdr:colOff>95250</xdr:colOff>
      <xdr:row>24</xdr:row>
      <xdr:rowOff>200025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647825" y="5229225"/>
          <a:ext cx="914400" cy="628650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104774</xdr:colOff>
      <xdr:row>20</xdr:row>
      <xdr:rowOff>19050</xdr:rowOff>
    </xdr:from>
    <xdr:to>
      <xdr:col>7</xdr:col>
      <xdr:colOff>209549</xdr:colOff>
      <xdr:row>22</xdr:row>
      <xdr:rowOff>19050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2419349" y="4772025"/>
          <a:ext cx="828675" cy="466725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666749</xdr:colOff>
      <xdr:row>26</xdr:row>
      <xdr:rowOff>19049</xdr:rowOff>
    </xdr:from>
    <xdr:to>
      <xdr:col>7</xdr:col>
      <xdr:colOff>19049</xdr:colOff>
      <xdr:row>28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2733674" y="6829424"/>
          <a:ext cx="771525" cy="514351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104774</xdr:colOff>
      <xdr:row>24</xdr:row>
      <xdr:rowOff>9525</xdr:rowOff>
    </xdr:from>
    <xdr:to>
      <xdr:col>7</xdr:col>
      <xdr:colOff>209549</xdr:colOff>
      <xdr:row>27</xdr:row>
      <xdr:rowOff>57150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/>
      </xdr:nvSpPr>
      <xdr:spPr>
        <a:xfrm>
          <a:off x="2419349" y="5667375"/>
          <a:ext cx="828675" cy="666750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876299</xdr:colOff>
      <xdr:row>23</xdr:row>
      <xdr:rowOff>180974</xdr:rowOff>
    </xdr:from>
    <xdr:to>
      <xdr:col>6</xdr:col>
      <xdr:colOff>19050</xdr:colOff>
      <xdr:row>25</xdr:row>
      <xdr:rowOff>38100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SpPr/>
      </xdr:nvSpPr>
      <xdr:spPr>
        <a:xfrm>
          <a:off x="1523999" y="5638799"/>
          <a:ext cx="962026" cy="266701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904875</xdr:colOff>
      <xdr:row>27</xdr:row>
      <xdr:rowOff>38100</xdr:rowOff>
    </xdr:from>
    <xdr:to>
      <xdr:col>5</xdr:col>
      <xdr:colOff>104775</xdr:colOff>
      <xdr:row>69</xdr:row>
      <xdr:rowOff>161925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/>
      </xdr:nvSpPr>
      <xdr:spPr>
        <a:xfrm>
          <a:off x="1552575" y="6419850"/>
          <a:ext cx="866775" cy="8829675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9525</xdr:colOff>
      <xdr:row>0</xdr:row>
      <xdr:rowOff>1</xdr:rowOff>
    </xdr:from>
    <xdr:to>
      <xdr:col>7</xdr:col>
      <xdr:colOff>76199</xdr:colOff>
      <xdr:row>2</xdr:row>
      <xdr:rowOff>228601</xdr:rowOff>
    </xdr:to>
    <xdr:sp macro="[0]!Rectangle37_Click" textlink="">
      <xdr:nvSpPr>
        <xdr:cNvPr id="38" name="Rectangle 37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SpPr/>
      </xdr:nvSpPr>
      <xdr:spPr>
        <a:xfrm>
          <a:off x="9525" y="1"/>
          <a:ext cx="3657599" cy="962025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19051</xdr:colOff>
      <xdr:row>19</xdr:row>
      <xdr:rowOff>9524</xdr:rowOff>
    </xdr:from>
    <xdr:to>
      <xdr:col>9</xdr:col>
      <xdr:colOff>57151</xdr:colOff>
      <xdr:row>32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SpPr/>
      </xdr:nvSpPr>
      <xdr:spPr>
        <a:xfrm>
          <a:off x="19051" y="4848224"/>
          <a:ext cx="4019550" cy="3448051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9526</xdr:rowOff>
    </xdr:from>
    <xdr:to>
      <xdr:col>7</xdr:col>
      <xdr:colOff>228600</xdr:colOff>
      <xdr:row>0</xdr:row>
      <xdr:rowOff>457200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9526"/>
          <a:ext cx="3971925" cy="447674"/>
        </a:xfrm>
        <a:prstGeom prst="rect">
          <a:avLst/>
        </a:prstGeom>
        <a:solidFill>
          <a:schemeClr val="accent3">
            <a:lumMod val="40000"/>
            <a:lumOff val="60000"/>
            <a:alpha val="2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53:AE61" totalsRowShown="0" headerRowDxfId="31" dataDxfId="30">
  <autoFilter ref="B53:AE61"/>
  <tableColumns count="30">
    <tableColumn id="1" name="Column1" dataDxfId="29"/>
    <tableColumn id="2" name="Column2" dataDxfId="28"/>
    <tableColumn id="3" name="Column3" dataDxfId="27"/>
    <tableColumn id="4" name="Column4" dataDxfId="26"/>
    <tableColumn id="30" name="Column42" dataDxfId="25"/>
    <tableColumn id="5" name="Column5" dataDxfId="24"/>
    <tableColumn id="6" name="Column6" dataDxfId="23"/>
    <tableColumn id="7" name="Column7" dataDxfId="22"/>
    <tableColumn id="8" name="Column8" dataDxfId="21"/>
    <tableColumn id="9" name="Column9" dataDxfId="20"/>
    <tableColumn id="10" name="Column10" dataDxfId="19"/>
    <tableColumn id="11" name="Column11" dataDxfId="18"/>
    <tableColumn id="12" name="Column12" dataDxfId="17"/>
    <tableColumn id="13" name="Column13" dataDxfId="16"/>
    <tableColumn id="14" name="Column14" dataDxfId="15"/>
    <tableColumn id="15" name="Column15" dataDxfId="14"/>
    <tableColumn id="16" name="Column16" dataDxfId="13"/>
    <tableColumn id="17" name="Column17" dataDxfId="12"/>
    <tableColumn id="18" name="Column18" dataDxfId="11"/>
    <tableColumn id="19" name="Column19" dataDxfId="10"/>
    <tableColumn id="20" name="Column20" dataDxfId="9"/>
    <tableColumn id="21" name="Column21" dataDxfId="8"/>
    <tableColumn id="22" name="Column22" dataDxfId="7"/>
    <tableColumn id="23" name="Column23" dataDxfId="6"/>
    <tableColumn id="24" name="Column24" dataDxfId="5"/>
    <tableColumn id="25" name="Column25" dataDxfId="4"/>
    <tableColumn id="26" name="Column26" dataDxfId="3"/>
    <tableColumn id="27" name="Column27" dataDxfId="2"/>
    <tableColumn id="28" name="Column28" dataDxfId="1"/>
    <tableColumn id="29" name="Column29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103"/>
  <sheetViews>
    <sheetView tabSelected="1" topLeftCell="A10" workbookViewId="0">
      <selection activeCell="F13" sqref="F13"/>
    </sheetView>
  </sheetViews>
  <sheetFormatPr defaultRowHeight="15.75"/>
  <cols>
    <col min="1" max="1" width="4.5703125" style="2" customWidth="1"/>
    <col min="2" max="2" width="4.5703125" style="98" customWidth="1"/>
    <col min="3" max="3" width="7.28515625" style="84" customWidth="1"/>
    <col min="4" max="4" width="14.5703125" style="17" customWidth="1"/>
    <col min="5" max="5" width="11.42578125" style="1" customWidth="1"/>
    <col min="6" max="6" width="3.5703125" style="1" customWidth="1"/>
    <col min="7" max="7" width="10.140625" style="93" customWidth="1"/>
    <col min="8" max="8" width="3.5703125" style="2" customWidth="1"/>
    <col min="9" max="9" width="9.140625" style="2" hidden="1" customWidth="1"/>
    <col min="10" max="10" width="9.85546875" style="173" customWidth="1"/>
    <col min="11" max="11" width="9.85546875" style="174" customWidth="1"/>
    <col min="12" max="12" width="10.7109375" style="174" customWidth="1"/>
    <col min="13" max="13" width="11.140625" style="181" customWidth="1"/>
    <col min="14" max="16" width="11.140625" style="176" customWidth="1"/>
    <col min="17" max="17" width="13.7109375" style="49" customWidth="1"/>
    <col min="18" max="18" width="12.42578125" style="36" customWidth="1"/>
    <col min="19" max="19" width="14.7109375" style="45" customWidth="1"/>
    <col min="20" max="20" width="12.42578125" style="15" customWidth="1"/>
    <col min="21" max="21" width="12.85546875" style="28" customWidth="1"/>
    <col min="22" max="22" width="11.140625" style="33" customWidth="1"/>
    <col min="23" max="23" width="12.42578125" style="55" customWidth="1"/>
    <col min="24" max="24" width="12.42578125" style="27" customWidth="1"/>
    <col min="25" max="25" width="16.7109375" style="27" customWidth="1"/>
    <col min="26" max="27" width="12.42578125" style="2" customWidth="1"/>
    <col min="28" max="28" width="21.140625" style="2" customWidth="1"/>
    <col min="29" max="29" width="15.28515625" style="2" customWidth="1"/>
    <col min="30" max="31" width="12.42578125" style="2" customWidth="1"/>
    <col min="32" max="16384" width="9.140625" style="2"/>
  </cols>
  <sheetData>
    <row r="1" spans="1:29" s="4" customFormat="1" ht="36.75" customHeight="1">
      <c r="A1" s="183">
        <v>5</v>
      </c>
      <c r="B1" s="184"/>
      <c r="C1" s="185"/>
      <c r="D1" s="186"/>
      <c r="E1" s="187"/>
      <c r="F1" s="170"/>
      <c r="G1" s="188"/>
      <c r="H1" s="183"/>
      <c r="I1" s="8"/>
      <c r="J1" s="167" t="s">
        <v>46</v>
      </c>
      <c r="K1" s="168" t="s">
        <v>45</v>
      </c>
      <c r="L1" s="169" t="s">
        <v>47</v>
      </c>
      <c r="M1" s="170" t="s">
        <v>42</v>
      </c>
      <c r="N1" s="171" t="s">
        <v>48</v>
      </c>
      <c r="O1" s="171" t="s">
        <v>43</v>
      </c>
      <c r="P1" s="172" t="s">
        <v>44</v>
      </c>
      <c r="Q1" s="46" t="s">
        <v>62</v>
      </c>
      <c r="R1" s="37" t="s">
        <v>57</v>
      </c>
      <c r="S1" s="50" t="s">
        <v>61</v>
      </c>
      <c r="T1" s="38" t="s">
        <v>58</v>
      </c>
      <c r="U1" s="39" t="s">
        <v>54</v>
      </c>
      <c r="V1" s="40" t="s">
        <v>59</v>
      </c>
      <c r="W1" s="53" t="s">
        <v>60</v>
      </c>
      <c r="X1" s="25"/>
      <c r="Z1" s="24" t="s">
        <v>53</v>
      </c>
      <c r="AA1" s="24"/>
      <c r="AB1" s="24"/>
      <c r="AC1" s="24"/>
    </row>
    <row r="2" spans="1:29" ht="21" customHeight="1">
      <c r="A2" s="18"/>
      <c r="B2" s="97"/>
      <c r="C2" s="83"/>
      <c r="D2" s="113" t="s">
        <v>63</v>
      </c>
      <c r="E2" s="114">
        <f>COUNT(E6:E18)</f>
        <v>5</v>
      </c>
      <c r="F2" s="52"/>
      <c r="G2" s="163">
        <f>IFERROR(SUM(G6:G18),"0")</f>
        <v>395.46000000000004</v>
      </c>
      <c r="H2" s="18"/>
      <c r="I2" s="8"/>
      <c r="J2" s="173">
        <v>50</v>
      </c>
      <c r="K2" s="174">
        <f t="shared" ref="K2:K9" si="0">(80-J2)/100</f>
        <v>0.3</v>
      </c>
      <c r="M2" s="175" t="s">
        <v>97</v>
      </c>
      <c r="N2" s="176">
        <f>J2+L2</f>
        <v>50</v>
      </c>
      <c r="O2" s="176">
        <f>N2*10 -50</f>
        <v>450</v>
      </c>
      <c r="P2" s="176">
        <v>5</v>
      </c>
      <c r="Q2" s="47">
        <v>43752.3125</v>
      </c>
      <c r="R2" s="34" t="s">
        <v>55</v>
      </c>
      <c r="S2" s="44">
        <f>Q2+R2</f>
        <v>43753.291666666664</v>
      </c>
      <c r="T2" s="41">
        <f>INT((S2-Q2)*24)</f>
        <v>23</v>
      </c>
      <c r="U2" s="42">
        <f ca="1">NOW()</f>
        <v>43928.444143287037</v>
      </c>
      <c r="V2" s="51">
        <f ca="1">(U2-Q2)*24</f>
        <v>4227.1594388888916</v>
      </c>
      <c r="W2" s="54">
        <f ca="1">T2-V2</f>
        <v>-4204.1594388888916</v>
      </c>
      <c r="X2" s="32"/>
      <c r="Y2" s="31"/>
      <c r="AB2" s="29">
        <v>39242.440972222219</v>
      </c>
    </row>
    <row r="3" spans="1:29" s="12" customFormat="1" ht="18.75" customHeight="1">
      <c r="B3" s="98"/>
      <c r="C3" s="84" t="s">
        <v>49</v>
      </c>
      <c r="D3" s="20" t="s">
        <v>42</v>
      </c>
      <c r="E3" s="21" t="s">
        <v>50</v>
      </c>
      <c r="F3" s="21"/>
      <c r="G3" s="90" t="s">
        <v>51</v>
      </c>
      <c r="J3" s="173">
        <v>33</v>
      </c>
      <c r="K3" s="174">
        <f t="shared" si="0"/>
        <v>0.47</v>
      </c>
      <c r="L3" s="174">
        <f>J3*K3</f>
        <v>15.51</v>
      </c>
      <c r="M3" s="175" t="s">
        <v>2</v>
      </c>
      <c r="N3" s="176">
        <f>J3+L3</f>
        <v>48.51</v>
      </c>
      <c r="O3" s="176">
        <f>N3*10 -50</f>
        <v>435.09999999999997</v>
      </c>
      <c r="P3" s="176">
        <v>13</v>
      </c>
      <c r="Q3" s="47">
        <v>43752.25</v>
      </c>
      <c r="R3" s="34" t="s">
        <v>56</v>
      </c>
      <c r="S3" s="44">
        <f>Q3+R3</f>
        <v>43753.25</v>
      </c>
      <c r="T3" s="41">
        <f>INT((S3-Q3)*24)</f>
        <v>24</v>
      </c>
      <c r="U3" s="42">
        <f t="shared" ref="U3:U52" ca="1" si="1">NOW()</f>
        <v>43928.444143287037</v>
      </c>
      <c r="V3" s="51">
        <f t="shared" ref="V3:V52" ca="1" si="2">(U3-Q3)*24</f>
        <v>4228.6594388888916</v>
      </c>
      <c r="W3" s="54">
        <f ca="1">T3-V3</f>
        <v>-4204.6594388888916</v>
      </c>
      <c r="X3" s="32"/>
      <c r="Y3" s="31"/>
    </row>
    <row r="4" spans="1:29" s="14" customFormat="1" ht="20.25" customHeight="1">
      <c r="B4" s="115"/>
      <c r="C4" s="85"/>
      <c r="D4" s="22" t="s">
        <v>52</v>
      </c>
      <c r="E4" s="23"/>
      <c r="F4" s="23"/>
      <c r="G4" s="91"/>
      <c r="H4" s="11"/>
      <c r="I4" s="11"/>
      <c r="J4" s="174">
        <v>40</v>
      </c>
      <c r="K4" s="174">
        <f t="shared" si="0"/>
        <v>0.4</v>
      </c>
      <c r="L4" s="174">
        <f>J4*K4</f>
        <v>16</v>
      </c>
      <c r="M4" s="175" t="s">
        <v>3</v>
      </c>
      <c r="N4" s="176">
        <f>J4+L4</f>
        <v>56</v>
      </c>
      <c r="O4" s="176">
        <f>N4*10 -50</f>
        <v>510</v>
      </c>
      <c r="P4" s="176">
        <v>8</v>
      </c>
      <c r="Q4" s="47"/>
      <c r="R4" s="34"/>
      <c r="S4" s="44">
        <f t="shared" ref="S4:S52" si="3">Q4+R4</f>
        <v>0</v>
      </c>
      <c r="T4" s="41">
        <f t="shared" ref="T4:T52" si="4">INT((S4-Q4)*24)</f>
        <v>0</v>
      </c>
      <c r="U4" s="42">
        <f t="shared" ca="1" si="1"/>
        <v>43928.444143287037</v>
      </c>
      <c r="V4" s="51">
        <f t="shared" ca="1" si="2"/>
        <v>1054282.659438889</v>
      </c>
      <c r="W4" s="54">
        <f t="shared" ref="W4:W52" ca="1" si="5">T4-V4</f>
        <v>-1054282.659438889</v>
      </c>
      <c r="X4" s="30"/>
      <c r="Y4" s="30"/>
    </row>
    <row r="5" spans="1:29" s="14" customFormat="1" ht="20.25" customHeight="1">
      <c r="B5">
        <v>1</v>
      </c>
      <c r="C5" s="158">
        <f>IFERROR(VLOOKUP(D5, M2:O36, 2, FALSE),0)</f>
        <v>26.240000000000002</v>
      </c>
      <c r="D5" s="155" t="s">
        <v>11</v>
      </c>
      <c r="E5">
        <v>1</v>
      </c>
      <c r="F5" s="164" t="s">
        <v>109</v>
      </c>
      <c r="G5" s="162">
        <f t="shared" ref="G5:G18" si="6">IFERROR(C5*E5,"")</f>
        <v>26.240000000000002</v>
      </c>
      <c r="H5" s="154"/>
      <c r="I5" s="11"/>
      <c r="J5" s="173"/>
      <c r="K5" s="174"/>
      <c r="L5" s="174"/>
      <c r="M5" s="175"/>
      <c r="N5" s="176"/>
      <c r="O5" s="176"/>
      <c r="P5" s="176"/>
      <c r="Q5" s="47"/>
      <c r="R5" s="34"/>
      <c r="S5" s="44"/>
      <c r="T5" s="41"/>
      <c r="U5" s="42"/>
      <c r="V5" s="51"/>
      <c r="W5" s="54"/>
      <c r="X5" s="30"/>
      <c r="Y5" s="30"/>
    </row>
    <row r="6" spans="1:29" ht="18.75" customHeight="1">
      <c r="B6">
        <v>2</v>
      </c>
      <c r="C6" s="159">
        <f>IFERROR(VLOOKUP(D6, M2:O36, 2, FALSE),0)</f>
        <v>21.71</v>
      </c>
      <c r="D6" s="155" t="s">
        <v>38</v>
      </c>
      <c r="E6">
        <v>1</v>
      </c>
      <c r="F6" s="165" t="s">
        <v>111</v>
      </c>
      <c r="G6" s="162">
        <f t="shared" si="6"/>
        <v>21.71</v>
      </c>
      <c r="H6" s="14"/>
      <c r="I6" s="8"/>
      <c r="J6" s="173">
        <v>40</v>
      </c>
      <c r="K6" s="174">
        <f t="shared" si="0"/>
        <v>0.4</v>
      </c>
      <c r="L6" s="174">
        <f>J6*K6</f>
        <v>16</v>
      </c>
      <c r="M6" s="175" t="s">
        <v>4</v>
      </c>
      <c r="N6" s="176">
        <f>J6+L6</f>
        <v>56</v>
      </c>
      <c r="O6" s="176">
        <f>N6*10 -50</f>
        <v>510</v>
      </c>
      <c r="P6" s="176">
        <v>0.01</v>
      </c>
      <c r="Q6" s="47"/>
      <c r="R6" s="34"/>
      <c r="S6" s="44">
        <f t="shared" si="3"/>
        <v>0</v>
      </c>
      <c r="T6" s="41">
        <f t="shared" si="4"/>
        <v>0</v>
      </c>
      <c r="U6" s="42">
        <f t="shared" ca="1" si="1"/>
        <v>43928.444143287037</v>
      </c>
      <c r="V6" s="51">
        <f t="shared" ca="1" si="2"/>
        <v>1054282.659438889</v>
      </c>
      <c r="W6" s="54">
        <f t="shared" ca="1" si="5"/>
        <v>-1054282.659438889</v>
      </c>
      <c r="X6" s="30"/>
      <c r="Y6" s="30"/>
    </row>
    <row r="7" spans="1:29" ht="18.75">
      <c r="B7">
        <v>3</v>
      </c>
      <c r="C7" s="160">
        <f>IFERROR(VLOOKUP(D7, M2:O36, 2, FALSE),0)</f>
        <v>38.75</v>
      </c>
      <c r="D7" s="155" t="s">
        <v>5</v>
      </c>
      <c r="E7">
        <v>5</v>
      </c>
      <c r="F7" s="165" t="s">
        <v>109</v>
      </c>
      <c r="G7" s="162">
        <f t="shared" si="6"/>
        <v>193.75</v>
      </c>
      <c r="H7" s="14"/>
      <c r="I7" s="8"/>
      <c r="J7" s="173">
        <v>25</v>
      </c>
      <c r="K7" s="174">
        <f t="shared" si="0"/>
        <v>0.55000000000000004</v>
      </c>
      <c r="L7" s="174">
        <f t="shared" ref="L7:L12" si="7">J7*K7</f>
        <v>13.750000000000002</v>
      </c>
      <c r="M7" s="175" t="s">
        <v>5</v>
      </c>
      <c r="N7" s="176">
        <f t="shared" ref="N7:N12" si="8">J7+L7</f>
        <v>38.75</v>
      </c>
      <c r="O7" s="176">
        <f t="shared" ref="O7:O12" si="9">N7*10 -50</f>
        <v>337.5</v>
      </c>
      <c r="P7" s="176">
        <v>3</v>
      </c>
      <c r="Q7" s="48"/>
      <c r="R7" s="35"/>
      <c r="S7" s="44">
        <f t="shared" si="3"/>
        <v>0</v>
      </c>
      <c r="T7" s="41">
        <f t="shared" si="4"/>
        <v>0</v>
      </c>
      <c r="U7" s="42">
        <f t="shared" ca="1" si="1"/>
        <v>43928.444143287037</v>
      </c>
      <c r="V7" s="51">
        <f t="shared" ca="1" si="2"/>
        <v>1054282.659438889</v>
      </c>
      <c r="W7" s="54">
        <f t="shared" ca="1" si="5"/>
        <v>-1054282.659438889</v>
      </c>
      <c r="X7" s="26"/>
      <c r="Y7" s="26"/>
    </row>
    <row r="8" spans="1:29" ht="18.75">
      <c r="B8">
        <v>4</v>
      </c>
      <c r="C8" s="161">
        <f>IFERROR(VLOOKUP(D8, M2:O36, 2, FALSE),0)</f>
        <v>0</v>
      </c>
      <c r="D8" s="155" t="s">
        <v>35</v>
      </c>
      <c r="E8"/>
      <c r="F8" s="165" t="s">
        <v>110</v>
      </c>
      <c r="G8" s="162">
        <f t="shared" si="6"/>
        <v>0</v>
      </c>
      <c r="H8" s="14"/>
      <c r="I8" s="6" t="s">
        <v>7</v>
      </c>
      <c r="J8" s="173">
        <v>25</v>
      </c>
      <c r="K8" s="174">
        <f t="shared" si="0"/>
        <v>0.55000000000000004</v>
      </c>
      <c r="L8" s="174">
        <f t="shared" si="7"/>
        <v>13.750000000000002</v>
      </c>
      <c r="M8" s="175" t="s">
        <v>6</v>
      </c>
      <c r="N8" s="176">
        <f t="shared" si="8"/>
        <v>38.75</v>
      </c>
      <c r="O8" s="176">
        <f t="shared" si="9"/>
        <v>337.5</v>
      </c>
      <c r="P8" s="176">
        <v>0.25</v>
      </c>
      <c r="Q8" s="48"/>
      <c r="R8" s="35"/>
      <c r="S8" s="44">
        <f t="shared" si="3"/>
        <v>0</v>
      </c>
      <c r="T8" s="41">
        <f t="shared" si="4"/>
        <v>0</v>
      </c>
      <c r="U8" s="42">
        <f t="shared" ca="1" si="1"/>
        <v>43928.444143287037</v>
      </c>
      <c r="V8" s="51">
        <f t="shared" ca="1" si="2"/>
        <v>1054282.659438889</v>
      </c>
      <c r="W8" s="54">
        <f t="shared" ca="1" si="5"/>
        <v>-1054282.659438889</v>
      </c>
      <c r="X8" s="26"/>
      <c r="Y8" s="26"/>
    </row>
    <row r="9" spans="1:29" ht="18.75">
      <c r="B9">
        <v>5</v>
      </c>
      <c r="C9" s="161">
        <f>IFERROR(VLOOKUP(D9, M2:O36, 2, FALSE),0)</f>
        <v>24.75</v>
      </c>
      <c r="D9" s="155" t="s">
        <v>10</v>
      </c>
      <c r="E9">
        <v>4</v>
      </c>
      <c r="F9" s="166" t="s">
        <v>111</v>
      </c>
      <c r="G9" s="162">
        <f t="shared" si="6"/>
        <v>99</v>
      </c>
      <c r="H9" s="14"/>
      <c r="I9" s="8"/>
      <c r="J9" s="173">
        <v>20</v>
      </c>
      <c r="K9" s="174">
        <f t="shared" si="0"/>
        <v>0.6</v>
      </c>
      <c r="L9" s="174">
        <f t="shared" si="7"/>
        <v>12</v>
      </c>
      <c r="M9" s="175" t="s">
        <v>7</v>
      </c>
      <c r="N9" s="176">
        <f t="shared" si="8"/>
        <v>32</v>
      </c>
      <c r="O9" s="176">
        <f t="shared" si="9"/>
        <v>270</v>
      </c>
      <c r="P9" s="176">
        <v>10</v>
      </c>
      <c r="Q9" s="48"/>
      <c r="R9" s="35"/>
      <c r="S9" s="44">
        <f t="shared" si="3"/>
        <v>0</v>
      </c>
      <c r="T9" s="41">
        <f t="shared" si="4"/>
        <v>0</v>
      </c>
      <c r="U9" s="42">
        <f t="shared" ca="1" si="1"/>
        <v>43928.444143287037</v>
      </c>
      <c r="V9" s="51">
        <f t="shared" ca="1" si="2"/>
        <v>1054282.659438889</v>
      </c>
      <c r="W9" s="54">
        <f t="shared" ca="1" si="5"/>
        <v>-1054282.659438889</v>
      </c>
      <c r="X9" s="26"/>
      <c r="Y9" s="26"/>
    </row>
    <row r="10" spans="1:29" ht="18.75">
      <c r="B10">
        <v>6</v>
      </c>
      <c r="C10" s="161">
        <f>IFERROR(VLOOKUP(D10, M2:P36, 4, FALSE),0)</f>
        <v>4</v>
      </c>
      <c r="D10" s="155" t="s">
        <v>8</v>
      </c>
      <c r="E10"/>
      <c r="F10" s="165"/>
      <c r="G10" s="162">
        <f t="shared" si="6"/>
        <v>0</v>
      </c>
      <c r="H10" s="14"/>
      <c r="I10" s="8"/>
      <c r="J10" s="173">
        <v>30</v>
      </c>
      <c r="K10" s="174">
        <v>1</v>
      </c>
      <c r="L10" s="174">
        <f t="shared" si="7"/>
        <v>30</v>
      </c>
      <c r="M10" s="175" t="s">
        <v>8</v>
      </c>
      <c r="N10" s="176">
        <f t="shared" si="8"/>
        <v>60</v>
      </c>
      <c r="O10" s="176">
        <f t="shared" si="9"/>
        <v>550</v>
      </c>
      <c r="P10" s="176">
        <v>4</v>
      </c>
      <c r="Q10" s="48"/>
      <c r="R10" s="35"/>
      <c r="S10" s="44">
        <f t="shared" si="3"/>
        <v>0</v>
      </c>
      <c r="T10" s="41">
        <f t="shared" si="4"/>
        <v>0</v>
      </c>
      <c r="U10" s="42">
        <f t="shared" ca="1" si="1"/>
        <v>43928.444143287037</v>
      </c>
      <c r="V10" s="51">
        <f t="shared" ca="1" si="2"/>
        <v>1054282.659438889</v>
      </c>
      <c r="W10" s="54">
        <f t="shared" ca="1" si="5"/>
        <v>-1054282.659438889</v>
      </c>
      <c r="X10" s="26"/>
      <c r="Y10" s="26"/>
    </row>
    <row r="11" spans="1:29" ht="18.75">
      <c r="B11">
        <v>7</v>
      </c>
      <c r="C11" s="161">
        <f>IFERROR(VLOOKUP(D11, M2:O36, 2, FALSE),0)</f>
        <v>32</v>
      </c>
      <c r="D11" s="155" t="s">
        <v>7</v>
      </c>
      <c r="E11">
        <v>2</v>
      </c>
      <c r="F11" s="165" t="s">
        <v>110</v>
      </c>
      <c r="G11" s="162">
        <f t="shared" si="6"/>
        <v>64</v>
      </c>
      <c r="H11" s="14"/>
      <c r="I11" s="8"/>
      <c r="J11" s="173">
        <v>20</v>
      </c>
      <c r="K11" s="174">
        <f t="shared" ref="K11:K38" si="10">(80-J11)/100</f>
        <v>0.6</v>
      </c>
      <c r="L11" s="174">
        <f t="shared" si="7"/>
        <v>12</v>
      </c>
      <c r="M11" s="175" t="s">
        <v>9</v>
      </c>
      <c r="N11" s="176">
        <f t="shared" si="8"/>
        <v>32</v>
      </c>
      <c r="O11" s="176">
        <f t="shared" si="9"/>
        <v>270</v>
      </c>
      <c r="P11" s="176">
        <v>0.35</v>
      </c>
      <c r="Q11" s="48"/>
      <c r="R11" s="35"/>
      <c r="S11" s="44">
        <f t="shared" si="3"/>
        <v>0</v>
      </c>
      <c r="T11" s="41">
        <f t="shared" si="4"/>
        <v>0</v>
      </c>
      <c r="U11" s="42">
        <f t="shared" ca="1" si="1"/>
        <v>43928.444143287037</v>
      </c>
      <c r="V11" s="51">
        <f t="shared" ca="1" si="2"/>
        <v>1054282.659438889</v>
      </c>
      <c r="W11" s="54">
        <f t="shared" ca="1" si="5"/>
        <v>-1054282.659438889</v>
      </c>
      <c r="X11" s="26"/>
      <c r="Y11" s="26"/>
    </row>
    <row r="12" spans="1:29" ht="18.75">
      <c r="B12">
        <v>8</v>
      </c>
      <c r="C12" s="161">
        <f>IFERROR(VLOOKUP(D12, M2:O36, 2, FALSE),0)</f>
        <v>17</v>
      </c>
      <c r="D12" s="155" t="s">
        <v>25</v>
      </c>
      <c r="E12">
        <v>1</v>
      </c>
      <c r="F12" s="165" t="s">
        <v>110</v>
      </c>
      <c r="G12" s="162">
        <f t="shared" si="6"/>
        <v>17</v>
      </c>
      <c r="H12" s="14"/>
      <c r="I12" s="8"/>
      <c r="J12" s="173">
        <v>15</v>
      </c>
      <c r="K12" s="174">
        <f t="shared" si="10"/>
        <v>0.65</v>
      </c>
      <c r="L12" s="174">
        <f t="shared" si="7"/>
        <v>9.75</v>
      </c>
      <c r="M12" s="175" t="s">
        <v>10</v>
      </c>
      <c r="N12" s="176">
        <f t="shared" si="8"/>
        <v>24.75</v>
      </c>
      <c r="O12" s="176">
        <f t="shared" si="9"/>
        <v>197.5</v>
      </c>
      <c r="P12" s="176">
        <v>56</v>
      </c>
      <c r="Q12" s="48"/>
      <c r="R12" s="35"/>
      <c r="S12" s="44">
        <f t="shared" si="3"/>
        <v>0</v>
      </c>
      <c r="T12" s="41">
        <f t="shared" si="4"/>
        <v>0</v>
      </c>
      <c r="U12" s="42">
        <f t="shared" ca="1" si="1"/>
        <v>43928.444143287037</v>
      </c>
      <c r="V12" s="51">
        <f t="shared" ca="1" si="2"/>
        <v>1054282.659438889</v>
      </c>
      <c r="W12" s="54">
        <f t="shared" ca="1" si="5"/>
        <v>-1054282.659438889</v>
      </c>
      <c r="X12" s="26"/>
      <c r="Y12" s="26"/>
    </row>
    <row r="13" spans="1:29" ht="18.75">
      <c r="B13"/>
      <c r="C13" s="161">
        <f>IFERROR(VLOOKUP(D13, M2:O36, 2, FALSE),0)</f>
        <v>0</v>
      </c>
      <c r="D13" s="82"/>
      <c r="E13"/>
      <c r="F13" s="165"/>
      <c r="G13" s="162">
        <f t="shared" si="6"/>
        <v>0</v>
      </c>
      <c r="H13" s="14"/>
      <c r="I13" s="8"/>
      <c r="J13" s="173">
        <v>16</v>
      </c>
      <c r="K13" s="174">
        <f t="shared" si="10"/>
        <v>0.64</v>
      </c>
      <c r="L13" s="174">
        <f t="shared" ref="L13:L45" si="11">J13*K13</f>
        <v>10.24</v>
      </c>
      <c r="M13" s="175" t="s">
        <v>11</v>
      </c>
      <c r="N13" s="176">
        <f t="shared" ref="N13:N45" si="12">J13+L13</f>
        <v>26.240000000000002</v>
      </c>
      <c r="O13" s="176">
        <v>2</v>
      </c>
      <c r="P13" s="176">
        <v>0.5</v>
      </c>
      <c r="Q13" s="48"/>
      <c r="R13" s="35"/>
      <c r="S13" s="44">
        <f t="shared" si="3"/>
        <v>0</v>
      </c>
      <c r="T13" s="41">
        <f t="shared" si="4"/>
        <v>0</v>
      </c>
      <c r="U13" s="42">
        <f t="shared" ca="1" si="1"/>
        <v>43928.444143287037</v>
      </c>
      <c r="V13" s="51">
        <f t="shared" ca="1" si="2"/>
        <v>1054282.659438889</v>
      </c>
      <c r="W13" s="54">
        <f t="shared" ca="1" si="5"/>
        <v>-1054282.659438889</v>
      </c>
      <c r="X13" s="26"/>
      <c r="Y13" s="26"/>
    </row>
    <row r="14" spans="1:29" ht="18.75">
      <c r="B14"/>
      <c r="C14" s="161">
        <f>IFERROR(VLOOKUP(D14, M2:O36, 2, FALSE),0)</f>
        <v>0</v>
      </c>
      <c r="D14" s="155"/>
      <c r="E14"/>
      <c r="F14" s="165"/>
      <c r="G14" s="162">
        <f t="shared" si="6"/>
        <v>0</v>
      </c>
      <c r="H14" s="14"/>
      <c r="I14" s="6" t="s">
        <v>7</v>
      </c>
      <c r="J14" s="173">
        <v>15</v>
      </c>
      <c r="K14" s="174">
        <f t="shared" si="10"/>
        <v>0.65</v>
      </c>
      <c r="L14" s="174">
        <f t="shared" si="11"/>
        <v>9.75</v>
      </c>
      <c r="M14" s="175" t="s">
        <v>12</v>
      </c>
      <c r="N14" s="176">
        <f t="shared" si="12"/>
        <v>24.75</v>
      </c>
      <c r="O14" s="176">
        <f t="shared" ref="O14:O45" si="13">N14*10 -50</f>
        <v>197.5</v>
      </c>
      <c r="P14" s="176">
        <v>3</v>
      </c>
      <c r="Q14" s="48"/>
      <c r="R14" s="35"/>
      <c r="S14" s="44">
        <f t="shared" si="3"/>
        <v>0</v>
      </c>
      <c r="T14" s="41">
        <f t="shared" si="4"/>
        <v>0</v>
      </c>
      <c r="U14" s="42">
        <f t="shared" ca="1" si="1"/>
        <v>43928.444143287037</v>
      </c>
      <c r="V14" s="51">
        <f t="shared" ca="1" si="2"/>
        <v>1054282.659438889</v>
      </c>
      <c r="W14" s="54">
        <f t="shared" ca="1" si="5"/>
        <v>-1054282.659438889</v>
      </c>
      <c r="X14" s="26"/>
      <c r="Y14" s="26"/>
    </row>
    <row r="15" spans="1:29" ht="18.75">
      <c r="B15"/>
      <c r="C15" s="161">
        <f>IFERROR(VLOOKUP(D15, M2:O36, 2, FALSE),0)</f>
        <v>0</v>
      </c>
      <c r="D15" s="82"/>
      <c r="E15"/>
      <c r="F15" s="165"/>
      <c r="G15" s="162">
        <f t="shared" si="6"/>
        <v>0</v>
      </c>
      <c r="H15" s="14"/>
      <c r="I15" s="8"/>
      <c r="J15" s="173">
        <v>20</v>
      </c>
      <c r="K15" s="174">
        <f t="shared" si="10"/>
        <v>0.6</v>
      </c>
      <c r="L15" s="174">
        <f t="shared" si="11"/>
        <v>12</v>
      </c>
      <c r="M15" s="175" t="s">
        <v>13</v>
      </c>
      <c r="N15" s="176">
        <f t="shared" si="12"/>
        <v>32</v>
      </c>
      <c r="O15" s="176">
        <f t="shared" si="13"/>
        <v>270</v>
      </c>
      <c r="P15" s="176">
        <v>4</v>
      </c>
      <c r="Q15" s="48"/>
      <c r="R15" s="35"/>
      <c r="S15" s="44">
        <f t="shared" si="3"/>
        <v>0</v>
      </c>
      <c r="T15" s="41">
        <f t="shared" si="4"/>
        <v>0</v>
      </c>
      <c r="U15" s="42">
        <f t="shared" ca="1" si="1"/>
        <v>43928.444143287037</v>
      </c>
      <c r="V15" s="51">
        <f t="shared" ca="1" si="2"/>
        <v>1054282.659438889</v>
      </c>
      <c r="W15" s="54">
        <f t="shared" ca="1" si="5"/>
        <v>-1054282.659438889</v>
      </c>
      <c r="X15" s="26"/>
      <c r="Y15" s="26"/>
    </row>
    <row r="16" spans="1:29" ht="20.25" customHeight="1">
      <c r="B16"/>
      <c r="C16" s="161">
        <f>IFERROR(VLOOKUP(D16, M2:O36, 2, FALSE),0)</f>
        <v>0</v>
      </c>
      <c r="D16" s="155"/>
      <c r="E16"/>
      <c r="F16" s="165"/>
      <c r="G16" s="162">
        <f t="shared" si="6"/>
        <v>0</v>
      </c>
      <c r="H16" s="14"/>
      <c r="I16" s="8"/>
      <c r="J16" s="173">
        <v>12</v>
      </c>
      <c r="K16" s="174">
        <f t="shared" si="10"/>
        <v>0.68</v>
      </c>
      <c r="L16" s="174">
        <f t="shared" si="11"/>
        <v>8.16</v>
      </c>
      <c r="M16" s="175" t="s">
        <v>14</v>
      </c>
      <c r="N16" s="176">
        <f t="shared" si="12"/>
        <v>20.16</v>
      </c>
      <c r="O16" s="176">
        <f t="shared" si="13"/>
        <v>151.6</v>
      </c>
      <c r="P16" s="176">
        <v>1</v>
      </c>
      <c r="Q16" s="48"/>
      <c r="R16" s="35"/>
      <c r="S16" s="44">
        <f t="shared" si="3"/>
        <v>0</v>
      </c>
      <c r="T16" s="41">
        <f t="shared" si="4"/>
        <v>0</v>
      </c>
      <c r="U16" s="42">
        <f t="shared" ca="1" si="1"/>
        <v>43928.444143287037</v>
      </c>
      <c r="V16" s="51">
        <f t="shared" ca="1" si="2"/>
        <v>1054282.659438889</v>
      </c>
      <c r="W16" s="43">
        <f t="shared" ca="1" si="5"/>
        <v>-1054282.659438889</v>
      </c>
      <c r="X16" s="26"/>
      <c r="Y16" s="26"/>
    </row>
    <row r="17" spans="1:25" ht="18.75">
      <c r="B17"/>
      <c r="C17" s="161">
        <f>IFERROR(VLOOKUP(D17, M2:O36, 2, FALSE),0)</f>
        <v>0</v>
      </c>
      <c r="D17" s="155"/>
      <c r="E17"/>
      <c r="F17" s="165"/>
      <c r="G17" s="162">
        <f t="shared" si="6"/>
        <v>0</v>
      </c>
      <c r="H17" s="14"/>
      <c r="I17" s="8"/>
      <c r="J17" s="173">
        <v>56</v>
      </c>
      <c r="K17" s="174">
        <f t="shared" si="10"/>
        <v>0.24</v>
      </c>
      <c r="L17" s="174">
        <f t="shared" si="11"/>
        <v>13.44</v>
      </c>
      <c r="M17" s="175" t="s">
        <v>15</v>
      </c>
      <c r="N17" s="176">
        <f t="shared" si="12"/>
        <v>69.44</v>
      </c>
      <c r="O17" s="176">
        <f t="shared" si="13"/>
        <v>644.4</v>
      </c>
      <c r="P17" s="176">
        <v>5</v>
      </c>
      <c r="Q17" s="48"/>
      <c r="R17" s="35"/>
      <c r="S17" s="44">
        <f t="shared" si="3"/>
        <v>0</v>
      </c>
      <c r="T17" s="41">
        <f t="shared" si="4"/>
        <v>0</v>
      </c>
      <c r="U17" s="42">
        <f t="shared" ca="1" si="1"/>
        <v>43928.444143287037</v>
      </c>
      <c r="V17" s="51">
        <f t="shared" ca="1" si="2"/>
        <v>1054282.659438889</v>
      </c>
      <c r="W17" s="54">
        <f t="shared" ca="1" si="5"/>
        <v>-1054282.659438889</v>
      </c>
      <c r="X17" s="26"/>
      <c r="Y17" s="26"/>
    </row>
    <row r="18" spans="1:25" ht="18.75" customHeight="1">
      <c r="B18"/>
      <c r="C18" s="161">
        <f>IFERROR(VLOOKUP(D18, M2:O37, 2, FALSE),0)</f>
        <v>0</v>
      </c>
      <c r="D18" s="81"/>
      <c r="E18" s="157"/>
      <c r="F18" s="165"/>
      <c r="G18" s="162">
        <f t="shared" si="6"/>
        <v>0</v>
      </c>
      <c r="H18" s="14"/>
      <c r="I18" s="8"/>
      <c r="J18" s="173">
        <v>13</v>
      </c>
      <c r="K18" s="174">
        <f>(80-J18)/100</f>
        <v>0.67</v>
      </c>
      <c r="L18" s="174">
        <f>J18*K18</f>
        <v>8.7100000000000009</v>
      </c>
      <c r="M18" s="175" t="s">
        <v>38</v>
      </c>
      <c r="N18" s="176">
        <f>J18+L18</f>
        <v>21.71</v>
      </c>
      <c r="O18" s="176">
        <f>N18*10 -50</f>
        <v>167.10000000000002</v>
      </c>
      <c r="P18" s="176">
        <v>2</v>
      </c>
      <c r="Q18" s="48"/>
      <c r="R18" s="35"/>
      <c r="S18" s="44">
        <f t="shared" si="3"/>
        <v>0</v>
      </c>
      <c r="T18" s="41">
        <f t="shared" si="4"/>
        <v>0</v>
      </c>
      <c r="U18" s="42">
        <f t="shared" ca="1" si="1"/>
        <v>43928.444143287037</v>
      </c>
      <c r="V18" s="51">
        <f t="shared" ca="1" si="2"/>
        <v>1054282.659438889</v>
      </c>
      <c r="W18" s="54">
        <f t="shared" ca="1" si="5"/>
        <v>-1054282.659438889</v>
      </c>
      <c r="X18" s="26"/>
      <c r="Y18" s="26"/>
    </row>
    <row r="19" spans="1:25" s="5" customFormat="1" ht="18.75">
      <c r="A19" s="9"/>
      <c r="B19" s="150"/>
      <c r="C19" s="84"/>
      <c r="D19" s="81"/>
      <c r="E19" s="190"/>
      <c r="F19" s="190"/>
      <c r="G19" s="191"/>
      <c r="H19" s="9"/>
      <c r="I19" s="9"/>
      <c r="J19" s="173">
        <v>16</v>
      </c>
      <c r="K19" s="174">
        <f t="shared" si="10"/>
        <v>0.64</v>
      </c>
      <c r="L19" s="174">
        <f t="shared" si="11"/>
        <v>10.24</v>
      </c>
      <c r="M19" s="175" t="s">
        <v>16</v>
      </c>
      <c r="N19" s="176">
        <f t="shared" si="12"/>
        <v>26.240000000000002</v>
      </c>
      <c r="O19" s="176">
        <f t="shared" si="13"/>
        <v>212.40000000000003</v>
      </c>
      <c r="P19" s="176">
        <v>5</v>
      </c>
      <c r="Q19" s="48"/>
      <c r="R19" s="35"/>
      <c r="S19" s="44">
        <f t="shared" si="3"/>
        <v>0</v>
      </c>
      <c r="T19" s="41">
        <f t="shared" si="4"/>
        <v>0</v>
      </c>
      <c r="U19" s="42">
        <f t="shared" ca="1" si="1"/>
        <v>43928.444143287037</v>
      </c>
      <c r="V19" s="51">
        <f t="shared" ca="1" si="2"/>
        <v>1054282.659438889</v>
      </c>
      <c r="W19" s="54">
        <f t="shared" ca="1" si="5"/>
        <v>-1054282.659438889</v>
      </c>
      <c r="X19" s="26"/>
      <c r="Y19" s="26"/>
    </row>
    <row r="20" spans="1:25" ht="23.25">
      <c r="A20" s="189"/>
      <c r="B20" s="99"/>
      <c r="C20" s="86"/>
      <c r="D20" s="16"/>
      <c r="E20" s="13" t="s">
        <v>64</v>
      </c>
      <c r="F20" s="13"/>
      <c r="G20" s="92">
        <f>IFERROR(SUM(G6:G18),"0")</f>
        <v>395.46000000000004</v>
      </c>
      <c r="H20" s="10"/>
      <c r="I20" s="10"/>
      <c r="K20" s="174">
        <f t="shared" si="10"/>
        <v>0.8</v>
      </c>
      <c r="L20" s="174">
        <f t="shared" si="11"/>
        <v>0</v>
      </c>
      <c r="M20" s="175" t="s">
        <v>17</v>
      </c>
      <c r="N20" s="176">
        <f t="shared" si="12"/>
        <v>0</v>
      </c>
      <c r="O20" s="176">
        <f t="shared" si="13"/>
        <v>-50</v>
      </c>
      <c r="P20" s="176">
        <v>40</v>
      </c>
      <c r="Q20" s="48"/>
      <c r="R20" s="35"/>
      <c r="S20" s="44">
        <f t="shared" si="3"/>
        <v>0</v>
      </c>
      <c r="T20" s="41">
        <f t="shared" si="4"/>
        <v>0</v>
      </c>
      <c r="U20" s="42">
        <f t="shared" ca="1" si="1"/>
        <v>43928.444143287037</v>
      </c>
      <c r="V20" s="51">
        <f t="shared" ca="1" si="2"/>
        <v>1054282.659438889</v>
      </c>
      <c r="W20" s="54">
        <f t="shared" ca="1" si="5"/>
        <v>-1054282.659438889</v>
      </c>
      <c r="X20" s="26"/>
      <c r="Y20" s="26">
        <f t="shared" ref="Y20:Y51" ca="1" si="14">T20-V20</f>
        <v>-1054282.659438889</v>
      </c>
    </row>
    <row r="21" spans="1:25" ht="23.25">
      <c r="A21" s="2" t="s">
        <v>101</v>
      </c>
      <c r="B21" s="150" t="s">
        <v>102</v>
      </c>
      <c r="C21" s="84" t="s">
        <v>103</v>
      </c>
      <c r="D21" s="195"/>
      <c r="E21" s="196" t="s">
        <v>108</v>
      </c>
      <c r="F21" s="193"/>
      <c r="G21" s="197" t="s">
        <v>107</v>
      </c>
      <c r="H21" s="8"/>
      <c r="I21" s="8"/>
      <c r="J21" s="173">
        <v>34</v>
      </c>
      <c r="K21" s="174">
        <f t="shared" si="10"/>
        <v>0.46</v>
      </c>
      <c r="L21" s="174">
        <f t="shared" si="11"/>
        <v>15.64</v>
      </c>
      <c r="M21" s="175" t="s">
        <v>18</v>
      </c>
      <c r="N21" s="176">
        <f t="shared" si="12"/>
        <v>49.64</v>
      </c>
      <c r="O21" s="176">
        <f t="shared" si="13"/>
        <v>446.4</v>
      </c>
      <c r="P21" s="176">
        <v>2.5</v>
      </c>
      <c r="Q21" s="48"/>
      <c r="R21" s="35"/>
      <c r="S21" s="44">
        <f t="shared" si="3"/>
        <v>0</v>
      </c>
      <c r="T21" s="41">
        <f t="shared" si="4"/>
        <v>0</v>
      </c>
      <c r="U21" s="42">
        <f t="shared" ca="1" si="1"/>
        <v>43928.444143287037</v>
      </c>
      <c r="V21" s="51">
        <f t="shared" ca="1" si="2"/>
        <v>1054282.659438889</v>
      </c>
      <c r="W21" s="54">
        <f t="shared" ca="1" si="5"/>
        <v>-1054282.659438889</v>
      </c>
      <c r="X21" s="26"/>
      <c r="Y21" s="26">
        <f t="shared" ca="1" si="14"/>
        <v>-1054282.659438889</v>
      </c>
    </row>
    <row r="22" spans="1:25" ht="23.25">
      <c r="A22">
        <v>200</v>
      </c>
      <c r="B22"/>
      <c r="C22"/>
      <c r="D22" s="145" t="s">
        <v>105</v>
      </c>
      <c r="E22" s="192">
        <v>700</v>
      </c>
      <c r="F22" s="193"/>
      <c r="G22" s="194">
        <f>E22-G20</f>
        <v>304.53999999999996</v>
      </c>
      <c r="H22" s="2" t="str">
        <f>IF(G21&gt;=0, "./","?")</f>
        <v>./</v>
      </c>
      <c r="J22" s="173">
        <v>54</v>
      </c>
      <c r="K22" s="174">
        <f t="shared" si="10"/>
        <v>0.26</v>
      </c>
      <c r="L22" s="174">
        <f t="shared" si="11"/>
        <v>14.040000000000001</v>
      </c>
      <c r="M22" s="175" t="s">
        <v>19</v>
      </c>
      <c r="N22" s="176">
        <f t="shared" si="12"/>
        <v>68.040000000000006</v>
      </c>
      <c r="O22" s="176">
        <f t="shared" si="13"/>
        <v>630.40000000000009</v>
      </c>
      <c r="P22" s="176">
        <v>8.25</v>
      </c>
      <c r="Q22" s="48"/>
      <c r="R22" s="35"/>
      <c r="S22" s="44">
        <f t="shared" si="3"/>
        <v>0</v>
      </c>
      <c r="T22" s="41">
        <f t="shared" si="4"/>
        <v>0</v>
      </c>
      <c r="U22" s="42">
        <f t="shared" ca="1" si="1"/>
        <v>43928.444143287037</v>
      </c>
      <c r="V22" s="51">
        <f t="shared" ca="1" si="2"/>
        <v>1054282.659438889</v>
      </c>
      <c r="W22" s="54">
        <f t="shared" ca="1" si="5"/>
        <v>-1054282.659438889</v>
      </c>
      <c r="X22" s="26"/>
      <c r="Y22" s="26">
        <f t="shared" ca="1" si="14"/>
        <v>-1054282.659438889</v>
      </c>
    </row>
    <row r="23" spans="1:25" ht="24" thickBot="1">
      <c r="A23">
        <v>100</v>
      </c>
      <c r="B23"/>
      <c r="C23"/>
      <c r="D23" s="145" t="s">
        <v>106</v>
      </c>
      <c r="E23" s="133">
        <f>G22-G23</f>
        <v>242.53999999999996</v>
      </c>
      <c r="F23" s="127"/>
      <c r="G23" s="130">
        <v>62</v>
      </c>
      <c r="H23" s="2" t="str">
        <f>IF(G22&gt;=0, "./","?")</f>
        <v>./</v>
      </c>
      <c r="J23" s="173">
        <v>40</v>
      </c>
      <c r="K23" s="174">
        <f t="shared" si="10"/>
        <v>0.4</v>
      </c>
      <c r="L23" s="174">
        <f t="shared" si="11"/>
        <v>16</v>
      </c>
      <c r="M23" s="175" t="s">
        <v>20</v>
      </c>
      <c r="N23" s="176">
        <f t="shared" si="12"/>
        <v>56</v>
      </c>
      <c r="O23" s="176">
        <f t="shared" si="13"/>
        <v>510</v>
      </c>
      <c r="P23" s="176">
        <v>6.35</v>
      </c>
      <c r="Q23" s="48"/>
      <c r="R23" s="35"/>
      <c r="S23" s="44">
        <f t="shared" si="3"/>
        <v>0</v>
      </c>
      <c r="T23" s="41">
        <f t="shared" si="4"/>
        <v>0</v>
      </c>
      <c r="U23" s="42">
        <f t="shared" ca="1" si="1"/>
        <v>43928.444143287037</v>
      </c>
      <c r="V23" s="51">
        <f t="shared" ca="1" si="2"/>
        <v>1054282.659438889</v>
      </c>
      <c r="W23" s="54">
        <f t="shared" ca="1" si="5"/>
        <v>-1054282.659438889</v>
      </c>
      <c r="X23" s="26"/>
      <c r="Y23" s="26">
        <f t="shared" ca="1" si="14"/>
        <v>-1054282.659438889</v>
      </c>
    </row>
    <row r="24" spans="1:25" ht="23.25">
      <c r="A24">
        <v>50</v>
      </c>
      <c r="B24">
        <v>2</v>
      </c>
      <c r="C24">
        <f>A24*B24</f>
        <v>100</v>
      </c>
      <c r="D24" s="156">
        <f>C30+E24-G23</f>
        <v>1207.54</v>
      </c>
      <c r="E24" s="140">
        <f>SUM(E22:E23)</f>
        <v>942.54</v>
      </c>
      <c r="F24" s="131"/>
      <c r="G24" s="136"/>
      <c r="J24" s="173">
        <v>50</v>
      </c>
      <c r="K24" s="174">
        <f t="shared" si="10"/>
        <v>0.3</v>
      </c>
      <c r="L24" s="174">
        <f t="shared" si="11"/>
        <v>15</v>
      </c>
      <c r="M24" s="175" t="s">
        <v>21</v>
      </c>
      <c r="N24" s="176">
        <f t="shared" si="12"/>
        <v>65</v>
      </c>
      <c r="O24" s="176">
        <f t="shared" si="13"/>
        <v>600</v>
      </c>
      <c r="P24" s="176">
        <v>2.15</v>
      </c>
      <c r="Q24" s="48"/>
      <c r="R24" s="35"/>
      <c r="S24" s="44">
        <f t="shared" si="3"/>
        <v>0</v>
      </c>
      <c r="T24" s="41">
        <f t="shared" si="4"/>
        <v>0</v>
      </c>
      <c r="U24" s="42">
        <f t="shared" ca="1" si="1"/>
        <v>43928.444143287037</v>
      </c>
      <c r="V24" s="51">
        <f t="shared" ca="1" si="2"/>
        <v>1054282.659438889</v>
      </c>
      <c r="W24" s="54">
        <f t="shared" ca="1" si="5"/>
        <v>-1054282.659438889</v>
      </c>
      <c r="X24" s="26"/>
      <c r="Y24" s="26">
        <f t="shared" ca="1" si="14"/>
        <v>-1054282.659438889</v>
      </c>
    </row>
    <row r="25" spans="1:25" ht="24" thickBot="1">
      <c r="A25">
        <v>20</v>
      </c>
      <c r="B25">
        <v>6</v>
      </c>
      <c r="C25">
        <f>A25*B25</f>
        <v>120</v>
      </c>
      <c r="D25" s="142"/>
      <c r="E25" s="139" t="s">
        <v>104</v>
      </c>
      <c r="F25" s="131"/>
      <c r="G25" s="137" t="s">
        <v>99</v>
      </c>
      <c r="J25" s="173">
        <v>25</v>
      </c>
      <c r="K25" s="174">
        <f t="shared" si="10"/>
        <v>0.55000000000000004</v>
      </c>
      <c r="L25" s="174">
        <f t="shared" si="11"/>
        <v>13.750000000000002</v>
      </c>
      <c r="M25" s="175" t="s">
        <v>22</v>
      </c>
      <c r="N25" s="176">
        <f t="shared" si="12"/>
        <v>38.75</v>
      </c>
      <c r="O25" s="176">
        <f t="shared" si="13"/>
        <v>337.5</v>
      </c>
      <c r="P25" s="176">
        <v>2.75</v>
      </c>
      <c r="Q25" s="48"/>
      <c r="R25" s="35"/>
      <c r="S25" s="44">
        <f t="shared" si="3"/>
        <v>0</v>
      </c>
      <c r="T25" s="41">
        <f t="shared" si="4"/>
        <v>0</v>
      </c>
      <c r="U25" s="42">
        <f t="shared" ca="1" si="1"/>
        <v>43928.444143287037</v>
      </c>
      <c r="V25" s="51">
        <f t="shared" ca="1" si="2"/>
        <v>1054282.659438889</v>
      </c>
      <c r="W25" s="54">
        <f t="shared" ca="1" si="5"/>
        <v>-1054282.659438889</v>
      </c>
      <c r="X25" s="26"/>
      <c r="Y25" s="26">
        <f t="shared" ca="1" si="14"/>
        <v>-1054282.659438889</v>
      </c>
    </row>
    <row r="26" spans="1:25" ht="23.25">
      <c r="A26">
        <v>10</v>
      </c>
      <c r="B26">
        <v>4</v>
      </c>
      <c r="C26">
        <f>A26*B26</f>
        <v>40</v>
      </c>
      <c r="D26" s="145" t="s">
        <v>105</v>
      </c>
      <c r="E26" s="128">
        <f>E22</f>
        <v>700</v>
      </c>
      <c r="F26" s="129"/>
      <c r="G26" s="138">
        <f>E26-G20</f>
        <v>304.53999999999996</v>
      </c>
      <c r="J26" s="173">
        <v>25</v>
      </c>
      <c r="K26" s="174">
        <f t="shared" si="10"/>
        <v>0.55000000000000004</v>
      </c>
      <c r="L26" s="174">
        <f t="shared" si="11"/>
        <v>13.750000000000002</v>
      </c>
      <c r="M26" s="175" t="s">
        <v>41</v>
      </c>
      <c r="N26" s="176">
        <f t="shared" si="12"/>
        <v>38.75</v>
      </c>
      <c r="O26" s="176">
        <f t="shared" si="13"/>
        <v>337.5</v>
      </c>
      <c r="P26" s="176">
        <v>9.75</v>
      </c>
      <c r="Q26" s="48"/>
      <c r="R26" s="35"/>
      <c r="S26" s="44">
        <f t="shared" si="3"/>
        <v>0</v>
      </c>
      <c r="T26" s="41">
        <f t="shared" si="4"/>
        <v>0</v>
      </c>
      <c r="U26" s="42">
        <f t="shared" ca="1" si="1"/>
        <v>43928.444143287037</v>
      </c>
      <c r="V26" s="51">
        <f t="shared" ca="1" si="2"/>
        <v>1054282.659438889</v>
      </c>
      <c r="W26" s="54">
        <f t="shared" ca="1" si="5"/>
        <v>-1054282.659438889</v>
      </c>
      <c r="X26" s="26"/>
      <c r="Y26" s="26">
        <f t="shared" ca="1" si="14"/>
        <v>-1054282.659438889</v>
      </c>
    </row>
    <row r="27" spans="1:25" ht="24" thickBot="1">
      <c r="A27">
        <v>5</v>
      </c>
      <c r="B27">
        <v>10</v>
      </c>
      <c r="C27">
        <f>A27*B27</f>
        <v>50</v>
      </c>
      <c r="D27" s="145" t="s">
        <v>106</v>
      </c>
      <c r="E27" s="134">
        <v>2</v>
      </c>
      <c r="F27" s="127"/>
      <c r="G27" s="132">
        <f>G26+E27</f>
        <v>306.53999999999996</v>
      </c>
      <c r="J27" s="173">
        <v>25</v>
      </c>
      <c r="K27" s="174">
        <f t="shared" si="10"/>
        <v>0.55000000000000004</v>
      </c>
      <c r="L27" s="174">
        <f t="shared" si="11"/>
        <v>13.750000000000002</v>
      </c>
      <c r="M27" s="175" t="s">
        <v>23</v>
      </c>
      <c r="N27" s="176">
        <f t="shared" si="12"/>
        <v>38.75</v>
      </c>
      <c r="O27" s="176">
        <f t="shared" si="13"/>
        <v>337.5</v>
      </c>
      <c r="P27" s="176">
        <v>1.36</v>
      </c>
      <c r="Q27" s="48"/>
      <c r="R27" s="35"/>
      <c r="S27" s="44">
        <f t="shared" si="3"/>
        <v>0</v>
      </c>
      <c r="T27" s="41">
        <f t="shared" si="4"/>
        <v>0</v>
      </c>
      <c r="U27" s="42">
        <f t="shared" ca="1" si="1"/>
        <v>43928.444143287037</v>
      </c>
      <c r="V27" s="51">
        <f t="shared" ca="1" si="2"/>
        <v>1054282.659438889</v>
      </c>
      <c r="W27" s="54">
        <f t="shared" ca="1" si="5"/>
        <v>-1054282.659438889</v>
      </c>
      <c r="X27" s="26"/>
      <c r="Y27" s="26">
        <f t="shared" ca="1" si="14"/>
        <v>-1054282.659438889</v>
      </c>
    </row>
    <row r="28" spans="1:25" ht="18">
      <c r="A28">
        <v>1</v>
      </c>
      <c r="B28">
        <v>17</v>
      </c>
      <c r="C28">
        <f>A28*B28</f>
        <v>17</v>
      </c>
      <c r="D28" s="156">
        <f>C30+E28-G27</f>
        <v>722.46</v>
      </c>
      <c r="E28" s="140">
        <f>SUM(E26:E27)</f>
        <v>702</v>
      </c>
      <c r="J28" s="173">
        <v>25</v>
      </c>
      <c r="K28" s="174">
        <f t="shared" si="10"/>
        <v>0.55000000000000004</v>
      </c>
      <c r="L28" s="174">
        <f t="shared" si="11"/>
        <v>13.750000000000002</v>
      </c>
      <c r="M28" s="175" t="s">
        <v>24</v>
      </c>
      <c r="N28" s="176">
        <f t="shared" si="12"/>
        <v>38.75</v>
      </c>
      <c r="O28" s="176">
        <f t="shared" si="13"/>
        <v>337.5</v>
      </c>
      <c r="P28" s="176">
        <v>0.35</v>
      </c>
      <c r="Q28" s="48"/>
      <c r="R28" s="35"/>
      <c r="S28" s="44">
        <f t="shared" si="3"/>
        <v>0</v>
      </c>
      <c r="T28" s="41">
        <f t="shared" si="4"/>
        <v>0</v>
      </c>
      <c r="U28" s="42">
        <f t="shared" ca="1" si="1"/>
        <v>43928.444143287037</v>
      </c>
      <c r="V28" s="51">
        <f t="shared" ca="1" si="2"/>
        <v>1054282.659438889</v>
      </c>
      <c r="W28" s="54">
        <f t="shared" ca="1" si="5"/>
        <v>-1054282.659438889</v>
      </c>
      <c r="X28" s="26"/>
      <c r="Y28" s="26">
        <f t="shared" ca="1" si="14"/>
        <v>-1054282.659438889</v>
      </c>
    </row>
    <row r="29" spans="1:25">
      <c r="A29"/>
      <c r="B29"/>
      <c r="C29"/>
      <c r="J29" s="173">
        <v>10</v>
      </c>
      <c r="K29" s="174">
        <f t="shared" si="10"/>
        <v>0.7</v>
      </c>
      <c r="L29" s="174">
        <f t="shared" si="11"/>
        <v>7</v>
      </c>
      <c r="M29" s="175" t="s">
        <v>25</v>
      </c>
      <c r="N29" s="176">
        <f t="shared" si="12"/>
        <v>17</v>
      </c>
      <c r="O29" s="176">
        <f t="shared" si="13"/>
        <v>120</v>
      </c>
      <c r="P29" s="176">
        <v>10.25</v>
      </c>
      <c r="Q29" s="48"/>
      <c r="R29" s="35"/>
      <c r="S29" s="44">
        <f t="shared" si="3"/>
        <v>0</v>
      </c>
      <c r="T29" s="41">
        <f t="shared" si="4"/>
        <v>0</v>
      </c>
      <c r="U29" s="42">
        <f t="shared" ca="1" si="1"/>
        <v>43928.444143287037</v>
      </c>
      <c r="V29" s="51">
        <f t="shared" ca="1" si="2"/>
        <v>1054282.659438889</v>
      </c>
      <c r="W29" s="54">
        <f t="shared" ca="1" si="5"/>
        <v>-1054282.659438889</v>
      </c>
      <c r="X29" s="26"/>
      <c r="Y29" s="26">
        <f t="shared" ca="1" si="14"/>
        <v>-1054282.659438889</v>
      </c>
    </row>
    <row r="30" spans="1:25">
      <c r="A30" s="135"/>
      <c r="B30" s="135" t="s">
        <v>100</v>
      </c>
      <c r="C30" s="141">
        <f>SUM(C22:C28)</f>
        <v>327</v>
      </c>
      <c r="F30" s="1" t="s">
        <v>109</v>
      </c>
      <c r="J30" s="173">
        <v>45</v>
      </c>
      <c r="K30" s="174">
        <f t="shared" si="10"/>
        <v>0.35</v>
      </c>
      <c r="L30" s="174">
        <f t="shared" si="11"/>
        <v>15.749999999999998</v>
      </c>
      <c r="M30" s="175" t="s">
        <v>26</v>
      </c>
      <c r="N30" s="176">
        <f t="shared" si="12"/>
        <v>60.75</v>
      </c>
      <c r="O30" s="176">
        <f t="shared" si="13"/>
        <v>557.5</v>
      </c>
      <c r="P30" s="176">
        <v>0.34</v>
      </c>
      <c r="Q30" s="48"/>
      <c r="R30" s="35"/>
      <c r="S30" s="44">
        <f t="shared" si="3"/>
        <v>0</v>
      </c>
      <c r="T30" s="41">
        <f t="shared" si="4"/>
        <v>0</v>
      </c>
      <c r="U30" s="42">
        <f t="shared" ca="1" si="1"/>
        <v>43928.444143287037</v>
      </c>
      <c r="V30" s="51">
        <f t="shared" ca="1" si="2"/>
        <v>1054282.659438889</v>
      </c>
      <c r="W30" s="54">
        <f t="shared" ca="1" si="5"/>
        <v>-1054282.659438889</v>
      </c>
      <c r="X30" s="26"/>
      <c r="Y30" s="26">
        <f t="shared" ca="1" si="14"/>
        <v>-1054282.659438889</v>
      </c>
    </row>
    <row r="31" spans="1:25" ht="18">
      <c r="A31"/>
      <c r="B31" s="143"/>
      <c r="C31" s="144">
        <f>C30+G20</f>
        <v>722.46</v>
      </c>
      <c r="F31" s="1" t="s">
        <v>110</v>
      </c>
      <c r="J31" s="173">
        <v>25</v>
      </c>
      <c r="K31" s="174">
        <f t="shared" si="10"/>
        <v>0.55000000000000004</v>
      </c>
      <c r="L31" s="174">
        <f t="shared" si="11"/>
        <v>13.750000000000002</v>
      </c>
      <c r="M31" s="175" t="s">
        <v>27</v>
      </c>
      <c r="N31" s="176">
        <f t="shared" si="12"/>
        <v>38.75</v>
      </c>
      <c r="O31" s="176">
        <f t="shared" si="13"/>
        <v>337.5</v>
      </c>
      <c r="P31" s="176">
        <v>6.88</v>
      </c>
      <c r="Q31" s="48"/>
      <c r="R31" s="35"/>
      <c r="S31" s="44">
        <f t="shared" si="3"/>
        <v>0</v>
      </c>
      <c r="T31" s="41">
        <f t="shared" si="4"/>
        <v>0</v>
      </c>
      <c r="U31" s="42">
        <f t="shared" ca="1" si="1"/>
        <v>43928.444143287037</v>
      </c>
      <c r="V31" s="51">
        <f t="shared" ca="1" si="2"/>
        <v>1054282.659438889</v>
      </c>
      <c r="W31" s="54">
        <f t="shared" ca="1" si="5"/>
        <v>-1054282.659438889</v>
      </c>
      <c r="X31" s="26"/>
      <c r="Y31" s="26">
        <f t="shared" ca="1" si="14"/>
        <v>-1054282.659438889</v>
      </c>
    </row>
    <row r="32" spans="1:25" ht="16.5" thickBot="1">
      <c r="A32" s="146"/>
      <c r="B32" s="146"/>
      <c r="C32" s="146"/>
      <c r="D32" s="147"/>
      <c r="E32" s="148"/>
      <c r="F32" s="148" t="s">
        <v>111</v>
      </c>
      <c r="G32" s="149"/>
      <c r="H32" s="3"/>
      <c r="J32" s="173">
        <v>14</v>
      </c>
      <c r="K32" s="174">
        <f t="shared" si="10"/>
        <v>0.66</v>
      </c>
      <c r="L32" s="174">
        <f t="shared" si="11"/>
        <v>9.24</v>
      </c>
      <c r="M32" s="175" t="s">
        <v>28</v>
      </c>
      <c r="N32" s="176">
        <f t="shared" si="12"/>
        <v>23.240000000000002</v>
      </c>
      <c r="O32" s="176">
        <f t="shared" si="13"/>
        <v>182.40000000000003</v>
      </c>
      <c r="P32" s="176">
        <v>1.71</v>
      </c>
      <c r="Q32" s="48"/>
      <c r="R32" s="35"/>
      <c r="S32" s="44">
        <f t="shared" si="3"/>
        <v>0</v>
      </c>
      <c r="T32" s="41">
        <f t="shared" si="4"/>
        <v>0</v>
      </c>
      <c r="U32" s="42">
        <f t="shared" ca="1" si="1"/>
        <v>43928.444143287037</v>
      </c>
      <c r="V32" s="51">
        <f t="shared" ca="1" si="2"/>
        <v>1054282.659438889</v>
      </c>
      <c r="W32" s="54">
        <f t="shared" ca="1" si="5"/>
        <v>-1054282.659438889</v>
      </c>
      <c r="X32" s="26"/>
      <c r="Y32" s="26">
        <f t="shared" ca="1" si="14"/>
        <v>-1054282.659438889</v>
      </c>
    </row>
    <row r="33" spans="1:25">
      <c r="A33"/>
      <c r="B33"/>
      <c r="C33"/>
      <c r="J33" s="173">
        <v>15</v>
      </c>
      <c r="K33" s="174">
        <f t="shared" si="10"/>
        <v>0.65</v>
      </c>
      <c r="L33" s="174">
        <f t="shared" si="11"/>
        <v>9.75</v>
      </c>
      <c r="M33" s="175" t="s">
        <v>29</v>
      </c>
      <c r="N33" s="176">
        <f t="shared" si="12"/>
        <v>24.75</v>
      </c>
      <c r="O33" s="176">
        <f t="shared" si="13"/>
        <v>197.5</v>
      </c>
      <c r="P33" s="176">
        <v>2.39</v>
      </c>
      <c r="Q33" s="48"/>
      <c r="R33" s="35"/>
      <c r="S33" s="44">
        <f t="shared" si="3"/>
        <v>0</v>
      </c>
      <c r="T33" s="41">
        <f t="shared" si="4"/>
        <v>0</v>
      </c>
      <c r="U33" s="42">
        <f t="shared" ca="1" si="1"/>
        <v>43928.444143287037</v>
      </c>
      <c r="V33" s="51">
        <f t="shared" ca="1" si="2"/>
        <v>1054282.659438889</v>
      </c>
      <c r="W33" s="54">
        <f t="shared" ca="1" si="5"/>
        <v>-1054282.659438889</v>
      </c>
      <c r="X33" s="26"/>
      <c r="Y33" s="26">
        <f t="shared" ca="1" si="14"/>
        <v>-1054282.659438889</v>
      </c>
    </row>
    <row r="34" spans="1:25">
      <c r="A34" s="8"/>
      <c r="B34" s="150"/>
      <c r="D34" s="151"/>
      <c r="E34" s="152"/>
      <c r="F34" s="152"/>
      <c r="G34" s="94"/>
      <c r="H34" s="8"/>
      <c r="J34" s="173">
        <v>10</v>
      </c>
      <c r="K34" s="174">
        <f t="shared" si="10"/>
        <v>0.7</v>
      </c>
      <c r="L34" s="174">
        <f t="shared" si="11"/>
        <v>7</v>
      </c>
      <c r="M34" s="175" t="s">
        <v>30</v>
      </c>
      <c r="N34" s="176">
        <f t="shared" si="12"/>
        <v>17</v>
      </c>
      <c r="O34" s="176">
        <f t="shared" si="13"/>
        <v>120</v>
      </c>
      <c r="P34" s="176">
        <v>10</v>
      </c>
      <c r="Q34" s="48"/>
      <c r="R34" s="35"/>
      <c r="S34" s="44">
        <f t="shared" si="3"/>
        <v>0</v>
      </c>
      <c r="T34" s="41">
        <f t="shared" si="4"/>
        <v>0</v>
      </c>
      <c r="U34" s="42">
        <f t="shared" ca="1" si="1"/>
        <v>43928.444143287037</v>
      </c>
      <c r="V34" s="51">
        <f t="shared" ca="1" si="2"/>
        <v>1054282.659438889</v>
      </c>
      <c r="W34" s="54">
        <f t="shared" ca="1" si="5"/>
        <v>-1054282.659438889</v>
      </c>
      <c r="X34" s="26"/>
      <c r="Y34" s="26">
        <f t="shared" ca="1" si="14"/>
        <v>-1054282.659438889</v>
      </c>
    </row>
    <row r="35" spans="1:25">
      <c r="A35" s="8"/>
      <c r="B35" s="150"/>
      <c r="D35" s="151"/>
      <c r="E35" s="152"/>
      <c r="F35" s="152"/>
      <c r="G35" s="94"/>
      <c r="H35" s="8"/>
      <c r="J35" s="173">
        <v>10</v>
      </c>
      <c r="K35" s="174">
        <f t="shared" si="10"/>
        <v>0.7</v>
      </c>
      <c r="L35" s="174">
        <f t="shared" si="11"/>
        <v>7</v>
      </c>
      <c r="M35" s="175" t="s">
        <v>31</v>
      </c>
      <c r="N35" s="176">
        <f t="shared" si="12"/>
        <v>17</v>
      </c>
      <c r="O35" s="176">
        <f t="shared" si="13"/>
        <v>120</v>
      </c>
      <c r="P35" s="176">
        <v>0.28999999999999998</v>
      </c>
      <c r="Q35" s="48"/>
      <c r="R35" s="35"/>
      <c r="S35" s="44">
        <f t="shared" si="3"/>
        <v>0</v>
      </c>
      <c r="T35" s="41">
        <f t="shared" si="4"/>
        <v>0</v>
      </c>
      <c r="U35" s="42">
        <f t="shared" ca="1" si="1"/>
        <v>43928.444143287037</v>
      </c>
      <c r="V35" s="51">
        <f t="shared" ca="1" si="2"/>
        <v>1054282.659438889</v>
      </c>
      <c r="W35" s="54">
        <f t="shared" ca="1" si="5"/>
        <v>-1054282.659438889</v>
      </c>
      <c r="X35" s="26"/>
      <c r="Y35" s="26">
        <f t="shared" ca="1" si="14"/>
        <v>-1054282.659438889</v>
      </c>
    </row>
    <row r="36" spans="1:25">
      <c r="A36" s="8"/>
      <c r="B36" s="150"/>
      <c r="D36" s="151"/>
      <c r="E36" s="152"/>
      <c r="F36" s="152"/>
      <c r="G36" s="94"/>
      <c r="H36" s="8"/>
      <c r="J36" s="173">
        <v>15</v>
      </c>
      <c r="K36" s="174">
        <f t="shared" si="10"/>
        <v>0.65</v>
      </c>
      <c r="L36" s="174">
        <f t="shared" si="11"/>
        <v>9.75</v>
      </c>
      <c r="M36" s="175" t="s">
        <v>32</v>
      </c>
      <c r="N36" s="176">
        <f t="shared" si="12"/>
        <v>24.75</v>
      </c>
      <c r="O36" s="176">
        <f t="shared" si="13"/>
        <v>197.5</v>
      </c>
      <c r="P36" s="176">
        <v>4.0999999999999996</v>
      </c>
      <c r="Q36" s="48"/>
      <c r="R36" s="35"/>
      <c r="S36" s="44">
        <f t="shared" si="3"/>
        <v>0</v>
      </c>
      <c r="T36" s="41">
        <f t="shared" si="4"/>
        <v>0</v>
      </c>
      <c r="U36" s="42">
        <f t="shared" ca="1" si="1"/>
        <v>43928.444143287037</v>
      </c>
      <c r="V36" s="51">
        <f t="shared" ca="1" si="2"/>
        <v>1054282.659438889</v>
      </c>
      <c r="W36" s="54">
        <f t="shared" ca="1" si="5"/>
        <v>-1054282.659438889</v>
      </c>
      <c r="X36" s="26"/>
      <c r="Y36" s="26">
        <f t="shared" ca="1" si="14"/>
        <v>-1054282.659438889</v>
      </c>
    </row>
    <row r="37" spans="1:25">
      <c r="A37" s="8"/>
      <c r="B37" s="150"/>
      <c r="D37" s="151"/>
      <c r="E37" s="152"/>
      <c r="F37" s="152"/>
      <c r="G37" s="94"/>
      <c r="H37" s="8"/>
      <c r="J37" s="173">
        <v>45</v>
      </c>
      <c r="K37" s="174">
        <f t="shared" si="10"/>
        <v>0.35</v>
      </c>
      <c r="L37" s="174">
        <f t="shared" si="11"/>
        <v>15.749999999999998</v>
      </c>
      <c r="M37" s="175" t="s">
        <v>33</v>
      </c>
      <c r="N37" s="176">
        <f t="shared" si="12"/>
        <v>60.75</v>
      </c>
      <c r="O37" s="176">
        <f t="shared" si="13"/>
        <v>557.5</v>
      </c>
      <c r="P37" s="176">
        <v>0.24</v>
      </c>
      <c r="Q37" s="117"/>
      <c r="R37" s="118"/>
      <c r="S37" s="58">
        <f t="shared" si="3"/>
        <v>0</v>
      </c>
      <c r="T37" s="59">
        <f t="shared" si="4"/>
        <v>0</v>
      </c>
      <c r="U37" s="60">
        <f t="shared" ca="1" si="1"/>
        <v>43928.444143287037</v>
      </c>
      <c r="V37" s="61">
        <f t="shared" ca="1" si="2"/>
        <v>1054282.659438889</v>
      </c>
      <c r="W37" s="62">
        <f t="shared" ca="1" si="5"/>
        <v>-1054282.659438889</v>
      </c>
      <c r="X37" s="26"/>
      <c r="Y37" s="26">
        <f t="shared" ca="1" si="14"/>
        <v>-1054282.659438889</v>
      </c>
    </row>
    <row r="38" spans="1:25" s="18" customFormat="1" ht="18">
      <c r="A38" s="8"/>
      <c r="B38" s="150"/>
      <c r="C38" s="153"/>
      <c r="D38" s="82"/>
      <c r="E38" s="152"/>
      <c r="F38" s="152"/>
      <c r="G38" s="94"/>
      <c r="H38" s="8"/>
      <c r="J38" s="177">
        <v>18</v>
      </c>
      <c r="K38" s="178">
        <f t="shared" si="10"/>
        <v>0.62</v>
      </c>
      <c r="L38" s="178">
        <f t="shared" si="11"/>
        <v>11.16</v>
      </c>
      <c r="M38" s="179" t="s">
        <v>34</v>
      </c>
      <c r="N38" s="180">
        <f t="shared" si="12"/>
        <v>29.16</v>
      </c>
      <c r="O38" s="180">
        <f t="shared" si="13"/>
        <v>241.60000000000002</v>
      </c>
      <c r="P38" s="180">
        <v>0.32</v>
      </c>
      <c r="Q38" s="48"/>
      <c r="R38" s="35"/>
      <c r="S38" s="44">
        <f t="shared" si="3"/>
        <v>0</v>
      </c>
      <c r="T38" s="41">
        <f t="shared" si="4"/>
        <v>0</v>
      </c>
      <c r="U38" s="42">
        <f t="shared" ca="1" si="1"/>
        <v>43928.444143287037</v>
      </c>
      <c r="V38" s="51">
        <f t="shared" ca="1" si="2"/>
        <v>1054282.659438889</v>
      </c>
      <c r="W38" s="54">
        <f t="shared" ca="1" si="5"/>
        <v>-1054282.659438889</v>
      </c>
      <c r="X38" s="126"/>
      <c r="Y38" s="126">
        <f t="shared" ca="1" si="14"/>
        <v>-1054282.659438889</v>
      </c>
    </row>
    <row r="39" spans="1:25">
      <c r="A39" s="8"/>
      <c r="B39" s="150"/>
      <c r="D39" s="151"/>
      <c r="E39" s="152"/>
      <c r="F39" s="152"/>
      <c r="G39" s="94"/>
      <c r="H39" s="8"/>
      <c r="J39" s="173">
        <v>250</v>
      </c>
      <c r="K39" s="174">
        <f>(100-J39)/100</f>
        <v>-1.5</v>
      </c>
      <c r="L39" s="174">
        <f t="shared" si="11"/>
        <v>-375</v>
      </c>
      <c r="M39" s="175" t="s">
        <v>35</v>
      </c>
      <c r="N39" s="176">
        <f t="shared" si="12"/>
        <v>-125</v>
      </c>
      <c r="O39" s="176">
        <f t="shared" si="13"/>
        <v>-1300</v>
      </c>
      <c r="P39" s="176">
        <v>0.65</v>
      </c>
      <c r="Q39" s="119"/>
      <c r="R39" s="120"/>
      <c r="S39" s="121">
        <f t="shared" si="3"/>
        <v>0</v>
      </c>
      <c r="T39" s="122">
        <f t="shared" si="4"/>
        <v>0</v>
      </c>
      <c r="U39" s="123">
        <f t="shared" ca="1" si="1"/>
        <v>43928.444143287037</v>
      </c>
      <c r="V39" s="124">
        <f t="shared" ca="1" si="2"/>
        <v>1054282.659438889</v>
      </c>
      <c r="W39" s="125">
        <f t="shared" ca="1" si="5"/>
        <v>-1054282.659438889</v>
      </c>
      <c r="X39" s="26"/>
      <c r="Y39" s="26">
        <f t="shared" ca="1" si="14"/>
        <v>-1054282.659438889</v>
      </c>
    </row>
    <row r="40" spans="1:25">
      <c r="A40" s="8"/>
      <c r="B40" s="150"/>
      <c r="D40" s="151"/>
      <c r="E40" s="152"/>
      <c r="F40" s="152"/>
      <c r="G40" s="94"/>
      <c r="H40" s="8"/>
      <c r="J40" s="173">
        <v>35</v>
      </c>
      <c r="K40" s="174">
        <f t="shared" ref="K40:K45" si="15">(80-J40)/100</f>
        <v>0.45</v>
      </c>
      <c r="L40" s="174">
        <f t="shared" si="11"/>
        <v>15.75</v>
      </c>
      <c r="M40" s="175" t="s">
        <v>36</v>
      </c>
      <c r="N40" s="176">
        <f t="shared" si="12"/>
        <v>50.75</v>
      </c>
      <c r="O40" s="176">
        <f t="shared" si="13"/>
        <v>457.5</v>
      </c>
      <c r="P40" s="176">
        <v>0.44</v>
      </c>
      <c r="Q40" s="48"/>
      <c r="R40" s="35"/>
      <c r="S40" s="44">
        <f t="shared" si="3"/>
        <v>0</v>
      </c>
      <c r="T40" s="41">
        <f t="shared" si="4"/>
        <v>0</v>
      </c>
      <c r="U40" s="42">
        <f t="shared" ca="1" si="1"/>
        <v>43928.444143287037</v>
      </c>
      <c r="V40" s="51">
        <f t="shared" ca="1" si="2"/>
        <v>1054282.659438889</v>
      </c>
      <c r="W40" s="54">
        <f t="shared" ca="1" si="5"/>
        <v>-1054282.659438889</v>
      </c>
      <c r="X40" s="26"/>
      <c r="Y40" s="26">
        <f t="shared" ca="1" si="14"/>
        <v>-1054282.659438889</v>
      </c>
    </row>
    <row r="41" spans="1:25">
      <c r="A41" s="8"/>
      <c r="B41" s="150"/>
      <c r="D41" s="151"/>
      <c r="E41" s="152"/>
      <c r="F41" s="152"/>
      <c r="G41" s="94"/>
      <c r="H41" s="8"/>
      <c r="J41" s="173">
        <v>56</v>
      </c>
      <c r="K41" s="174">
        <f t="shared" si="15"/>
        <v>0.24</v>
      </c>
      <c r="L41" s="174">
        <f t="shared" si="11"/>
        <v>13.44</v>
      </c>
      <c r="M41" s="175" t="s">
        <v>98</v>
      </c>
      <c r="N41" s="176">
        <f t="shared" si="12"/>
        <v>69.44</v>
      </c>
      <c r="O41" s="176">
        <f t="shared" si="13"/>
        <v>644.4</v>
      </c>
      <c r="P41" s="176">
        <v>1.1000000000000001</v>
      </c>
      <c r="Q41" s="48"/>
      <c r="R41" s="35"/>
      <c r="S41" s="44">
        <f t="shared" si="3"/>
        <v>0</v>
      </c>
      <c r="T41" s="41">
        <f t="shared" si="4"/>
        <v>0</v>
      </c>
      <c r="U41" s="42">
        <f t="shared" ca="1" si="1"/>
        <v>43928.444143287037</v>
      </c>
      <c r="V41" s="51">
        <f t="shared" ca="1" si="2"/>
        <v>1054282.659438889</v>
      </c>
      <c r="W41" s="54">
        <f t="shared" ca="1" si="5"/>
        <v>-1054282.659438889</v>
      </c>
      <c r="X41" s="26"/>
      <c r="Y41" s="26">
        <f t="shared" ca="1" si="14"/>
        <v>-1054282.659438889</v>
      </c>
    </row>
    <row r="42" spans="1:25">
      <c r="A42" s="8"/>
      <c r="B42" s="150"/>
      <c r="D42" s="151"/>
      <c r="E42" s="152"/>
      <c r="F42" s="152"/>
      <c r="G42" s="94"/>
      <c r="H42" s="8"/>
      <c r="J42" s="173">
        <v>60</v>
      </c>
      <c r="K42" s="174">
        <f>(80-J42)/100</f>
        <v>0.2</v>
      </c>
      <c r="L42" s="174">
        <f>J42*K42</f>
        <v>12</v>
      </c>
      <c r="M42" s="175" t="s">
        <v>37</v>
      </c>
      <c r="N42" s="176">
        <f>J42+L42</f>
        <v>72</v>
      </c>
      <c r="O42" s="176">
        <f>N42*10 -50</f>
        <v>670</v>
      </c>
      <c r="P42" s="176">
        <v>1.5</v>
      </c>
      <c r="Q42" s="48"/>
      <c r="R42" s="35"/>
      <c r="S42" s="44">
        <f t="shared" si="3"/>
        <v>0</v>
      </c>
      <c r="T42" s="41">
        <f t="shared" si="4"/>
        <v>0</v>
      </c>
      <c r="U42" s="42">
        <f t="shared" ca="1" si="1"/>
        <v>43928.444143287037</v>
      </c>
      <c r="V42" s="51">
        <f t="shared" ca="1" si="2"/>
        <v>1054282.659438889</v>
      </c>
      <c r="W42" s="54">
        <f t="shared" ca="1" si="5"/>
        <v>-1054282.659438889</v>
      </c>
      <c r="X42" s="26"/>
      <c r="Y42" s="26">
        <f t="shared" ca="1" si="14"/>
        <v>-1054282.659438889</v>
      </c>
    </row>
    <row r="43" spans="1:25">
      <c r="A43" s="8"/>
      <c r="B43" s="150"/>
      <c r="D43" s="151"/>
      <c r="E43" s="152"/>
      <c r="F43" s="152"/>
      <c r="G43" s="94"/>
      <c r="H43" s="8"/>
      <c r="Q43" s="48"/>
      <c r="R43" s="35"/>
      <c r="S43" s="44">
        <f t="shared" si="3"/>
        <v>0</v>
      </c>
      <c r="T43" s="41">
        <f t="shared" si="4"/>
        <v>0</v>
      </c>
      <c r="U43" s="42">
        <f t="shared" ca="1" si="1"/>
        <v>43928.444143287037</v>
      </c>
      <c r="V43" s="51">
        <f t="shared" ca="1" si="2"/>
        <v>1054282.659438889</v>
      </c>
      <c r="W43" s="54">
        <f t="shared" ca="1" si="5"/>
        <v>-1054282.659438889</v>
      </c>
      <c r="X43" s="26"/>
      <c r="Y43" s="26">
        <f t="shared" ca="1" si="14"/>
        <v>-1054282.659438889</v>
      </c>
    </row>
    <row r="44" spans="1:25">
      <c r="A44" s="8"/>
      <c r="B44" s="150"/>
      <c r="D44" s="151"/>
      <c r="E44" s="8"/>
      <c r="F44" s="152"/>
      <c r="G44" s="94"/>
      <c r="H44" s="8"/>
      <c r="J44" s="173">
        <v>50</v>
      </c>
      <c r="K44" s="174">
        <f t="shared" si="15"/>
        <v>0.3</v>
      </c>
      <c r="L44" s="174">
        <f t="shared" si="11"/>
        <v>15</v>
      </c>
      <c r="M44" s="175" t="s">
        <v>39</v>
      </c>
      <c r="N44" s="176">
        <f t="shared" si="12"/>
        <v>65</v>
      </c>
      <c r="O44" s="176">
        <f t="shared" si="13"/>
        <v>600</v>
      </c>
      <c r="P44" s="176">
        <v>1.05</v>
      </c>
      <c r="Q44" s="48"/>
      <c r="R44" s="35"/>
      <c r="S44" s="44">
        <f t="shared" si="3"/>
        <v>0</v>
      </c>
      <c r="T44" s="41">
        <f t="shared" si="4"/>
        <v>0</v>
      </c>
      <c r="U44" s="42">
        <f t="shared" ca="1" si="1"/>
        <v>43928.444143287037</v>
      </c>
      <c r="V44" s="51">
        <f t="shared" ca="1" si="2"/>
        <v>1054282.659438889</v>
      </c>
      <c r="W44" s="54">
        <f t="shared" ca="1" si="5"/>
        <v>-1054282.659438889</v>
      </c>
      <c r="X44" s="26"/>
      <c r="Y44" s="26">
        <f t="shared" ca="1" si="14"/>
        <v>-1054282.659438889</v>
      </c>
    </row>
    <row r="45" spans="1:25">
      <c r="A45" s="8"/>
      <c r="B45" s="150"/>
      <c r="D45" s="151"/>
      <c r="E45" s="152"/>
      <c r="F45" s="152"/>
      <c r="G45" s="94"/>
      <c r="H45" s="8"/>
      <c r="J45" s="173">
        <v>10</v>
      </c>
      <c r="K45" s="174">
        <f t="shared" si="15"/>
        <v>0.7</v>
      </c>
      <c r="L45" s="174">
        <f t="shared" si="11"/>
        <v>7</v>
      </c>
      <c r="M45" s="175" t="s">
        <v>40</v>
      </c>
      <c r="N45" s="176">
        <f t="shared" si="12"/>
        <v>17</v>
      </c>
      <c r="O45" s="176">
        <f t="shared" si="13"/>
        <v>120</v>
      </c>
      <c r="P45" s="176">
        <v>8</v>
      </c>
      <c r="Q45" s="48"/>
      <c r="R45" s="35"/>
      <c r="S45" s="44">
        <f t="shared" si="3"/>
        <v>0</v>
      </c>
      <c r="T45" s="41">
        <f t="shared" si="4"/>
        <v>0</v>
      </c>
      <c r="U45" s="42">
        <f t="shared" ca="1" si="1"/>
        <v>43928.444143287037</v>
      </c>
      <c r="V45" s="51">
        <f t="shared" ca="1" si="2"/>
        <v>1054282.659438889</v>
      </c>
      <c r="W45" s="54">
        <f t="shared" ca="1" si="5"/>
        <v>-1054282.659438889</v>
      </c>
      <c r="X45" s="26"/>
      <c r="Y45" s="26">
        <f t="shared" ca="1" si="14"/>
        <v>-1054282.659438889</v>
      </c>
    </row>
    <row r="46" spans="1:25">
      <c r="A46" s="8"/>
      <c r="B46" s="150"/>
      <c r="D46" s="151"/>
      <c r="E46" s="152"/>
      <c r="F46" s="152"/>
      <c r="G46" s="94"/>
      <c r="H46" s="8"/>
      <c r="M46" s="182" t="s">
        <v>0</v>
      </c>
      <c r="Q46" s="48"/>
      <c r="R46" s="35"/>
      <c r="S46" s="44">
        <f t="shared" si="3"/>
        <v>0</v>
      </c>
      <c r="T46" s="41">
        <f t="shared" si="4"/>
        <v>0</v>
      </c>
      <c r="U46" s="42">
        <f t="shared" ca="1" si="1"/>
        <v>43928.444143287037</v>
      </c>
      <c r="V46" s="51">
        <f t="shared" ca="1" si="2"/>
        <v>1054282.659438889</v>
      </c>
      <c r="W46" s="54">
        <f t="shared" ca="1" si="5"/>
        <v>-1054282.659438889</v>
      </c>
      <c r="X46" s="26"/>
      <c r="Y46" s="26">
        <f t="shared" ca="1" si="14"/>
        <v>-1054282.659438889</v>
      </c>
    </row>
    <row r="47" spans="1:25">
      <c r="A47" s="8"/>
      <c r="B47" s="150"/>
      <c r="D47" s="151"/>
      <c r="E47" s="152"/>
      <c r="F47" s="152"/>
      <c r="G47" s="94"/>
      <c r="H47" s="8"/>
      <c r="Q47" s="48"/>
      <c r="R47" s="35"/>
      <c r="S47" s="44">
        <f t="shared" si="3"/>
        <v>0</v>
      </c>
      <c r="T47" s="41">
        <f t="shared" si="4"/>
        <v>0</v>
      </c>
      <c r="U47" s="42">
        <f t="shared" ca="1" si="1"/>
        <v>43928.444143287037</v>
      </c>
      <c r="V47" s="51">
        <f t="shared" ca="1" si="2"/>
        <v>1054282.659438889</v>
      </c>
      <c r="W47" s="54">
        <f t="shared" ca="1" si="5"/>
        <v>-1054282.659438889</v>
      </c>
      <c r="X47" s="26"/>
      <c r="Y47" s="26">
        <f t="shared" ca="1" si="14"/>
        <v>-1054282.659438889</v>
      </c>
    </row>
    <row r="48" spans="1:25">
      <c r="A48" s="8"/>
      <c r="B48" s="150"/>
      <c r="D48" s="151"/>
      <c r="E48" s="152"/>
      <c r="F48" s="152"/>
      <c r="G48" s="94"/>
      <c r="H48" s="8"/>
      <c r="Q48" s="48"/>
      <c r="R48" s="35"/>
      <c r="S48" s="44">
        <f t="shared" si="3"/>
        <v>0</v>
      </c>
      <c r="T48" s="41">
        <f t="shared" si="4"/>
        <v>0</v>
      </c>
      <c r="U48" s="42">
        <f t="shared" ca="1" si="1"/>
        <v>43928.444143287037</v>
      </c>
      <c r="V48" s="51">
        <f t="shared" ca="1" si="2"/>
        <v>1054282.659438889</v>
      </c>
      <c r="W48" s="54">
        <f t="shared" ca="1" si="5"/>
        <v>-1054282.659438889</v>
      </c>
      <c r="X48" s="26"/>
      <c r="Y48" s="26">
        <f t="shared" ca="1" si="14"/>
        <v>-1054282.659438889</v>
      </c>
    </row>
    <row r="49" spans="1:31">
      <c r="A49" s="8"/>
      <c r="B49" s="150"/>
      <c r="D49" s="151"/>
      <c r="E49" s="152"/>
      <c r="F49" s="152"/>
      <c r="G49" s="94"/>
      <c r="H49" s="8"/>
      <c r="Q49" s="48"/>
      <c r="R49" s="35"/>
      <c r="S49" s="44">
        <f t="shared" si="3"/>
        <v>0</v>
      </c>
      <c r="T49" s="41">
        <f t="shared" si="4"/>
        <v>0</v>
      </c>
      <c r="U49" s="42">
        <f t="shared" ca="1" si="1"/>
        <v>43928.444143287037</v>
      </c>
      <c r="V49" s="51">
        <f t="shared" ca="1" si="2"/>
        <v>1054282.659438889</v>
      </c>
      <c r="W49" s="54">
        <f t="shared" ca="1" si="5"/>
        <v>-1054282.659438889</v>
      </c>
      <c r="X49" s="26"/>
      <c r="Y49" s="26">
        <f t="shared" ca="1" si="14"/>
        <v>-1054282.659438889</v>
      </c>
    </row>
    <row r="50" spans="1:31" ht="18">
      <c r="C50" s="155" t="s">
        <v>25</v>
      </c>
      <c r="G50" s="94"/>
      <c r="Q50" s="48"/>
      <c r="R50" s="35"/>
      <c r="S50" s="44">
        <f t="shared" si="3"/>
        <v>0</v>
      </c>
      <c r="T50" s="41">
        <f t="shared" si="4"/>
        <v>0</v>
      </c>
      <c r="U50" s="42">
        <f t="shared" ca="1" si="1"/>
        <v>43928.444143287037</v>
      </c>
      <c r="V50" s="51">
        <f t="shared" ca="1" si="2"/>
        <v>1054282.659438889</v>
      </c>
      <c r="W50" s="54">
        <f t="shared" ca="1" si="5"/>
        <v>-1054282.659438889</v>
      </c>
      <c r="X50" s="26"/>
      <c r="Y50" s="26">
        <f t="shared" ca="1" si="14"/>
        <v>-1054282.659438889</v>
      </c>
    </row>
    <row r="51" spans="1:31" ht="18">
      <c r="C51" s="82" t="s">
        <v>95</v>
      </c>
      <c r="Q51" s="48"/>
      <c r="R51" s="35"/>
      <c r="S51" s="44">
        <f t="shared" si="3"/>
        <v>0</v>
      </c>
      <c r="T51" s="41">
        <f t="shared" si="4"/>
        <v>0</v>
      </c>
      <c r="U51" s="42">
        <f t="shared" ca="1" si="1"/>
        <v>43928.444143287037</v>
      </c>
      <c r="V51" s="51">
        <f t="shared" ca="1" si="2"/>
        <v>1054282.659438889</v>
      </c>
      <c r="W51" s="54">
        <f t="shared" ca="1" si="5"/>
        <v>-1054282.659438889</v>
      </c>
      <c r="X51" s="26"/>
      <c r="Y51" s="26">
        <f t="shared" ca="1" si="14"/>
        <v>-1054282.659438889</v>
      </c>
    </row>
    <row r="52" spans="1:31">
      <c r="C52" s="84" t="s">
        <v>95</v>
      </c>
      <c r="Q52" s="56"/>
      <c r="R52" s="57"/>
      <c r="S52" s="58">
        <f t="shared" si="3"/>
        <v>0</v>
      </c>
      <c r="T52" s="59">
        <f t="shared" si="4"/>
        <v>0</v>
      </c>
      <c r="U52" s="60">
        <f t="shared" ca="1" si="1"/>
        <v>43928.444143287037</v>
      </c>
      <c r="V52" s="61">
        <f t="shared" ca="1" si="2"/>
        <v>1054282.659438889</v>
      </c>
      <c r="W52" s="62">
        <f t="shared" ca="1" si="5"/>
        <v>-1054282.659438889</v>
      </c>
    </row>
    <row r="53" spans="1:31">
      <c r="A53" s="63"/>
      <c r="B53" s="116" t="s">
        <v>65</v>
      </c>
      <c r="C53" s="87" t="s">
        <v>66</v>
      </c>
      <c r="D53" s="65" t="s">
        <v>67</v>
      </c>
      <c r="E53" s="66" t="s">
        <v>68</v>
      </c>
      <c r="F53" s="66" t="s">
        <v>96</v>
      </c>
      <c r="G53" s="95" t="s">
        <v>69</v>
      </c>
      <c r="H53" s="63" t="s">
        <v>70</v>
      </c>
      <c r="I53" s="2" t="s">
        <v>71</v>
      </c>
      <c r="J53" s="174" t="s">
        <v>72</v>
      </c>
      <c r="K53" s="174" t="s">
        <v>73</v>
      </c>
      <c r="L53" s="174" t="s">
        <v>74</v>
      </c>
      <c r="M53" s="181" t="s">
        <v>75</v>
      </c>
      <c r="N53" s="176" t="s">
        <v>76</v>
      </c>
      <c r="O53" s="176" t="s">
        <v>77</v>
      </c>
      <c r="P53" s="176" t="s">
        <v>78</v>
      </c>
      <c r="Q53" s="64" t="s">
        <v>79</v>
      </c>
      <c r="R53" s="69" t="s">
        <v>80</v>
      </c>
      <c r="S53" s="70" t="s">
        <v>81</v>
      </c>
      <c r="T53" s="64" t="s">
        <v>82</v>
      </c>
      <c r="U53" s="71" t="s">
        <v>83</v>
      </c>
      <c r="V53" s="72" t="s">
        <v>84</v>
      </c>
      <c r="W53" s="73" t="s">
        <v>85</v>
      </c>
      <c r="X53" s="74" t="s">
        <v>86</v>
      </c>
      <c r="Y53" s="74" t="s">
        <v>87</v>
      </c>
      <c r="Z53" s="63" t="s">
        <v>88</v>
      </c>
      <c r="AA53" s="63" t="s">
        <v>89</v>
      </c>
      <c r="AB53" s="63" t="s">
        <v>90</v>
      </c>
      <c r="AC53" s="63" t="s">
        <v>91</v>
      </c>
      <c r="AD53" s="63" t="s">
        <v>92</v>
      </c>
      <c r="AE53" s="63" t="s">
        <v>93</v>
      </c>
    </row>
    <row r="54" spans="1:31" s="6" customFormat="1" ht="18">
      <c r="A54" s="67"/>
      <c r="B54" s="116"/>
      <c r="C54" s="88" t="s">
        <v>1</v>
      </c>
      <c r="D54" s="68" t="s">
        <v>4</v>
      </c>
      <c r="E54" s="68"/>
      <c r="F54" s="68"/>
      <c r="G54" s="96" t="s">
        <v>7</v>
      </c>
      <c r="H54" s="68"/>
      <c r="J54" s="87" t="s">
        <v>8</v>
      </c>
      <c r="K54" s="87"/>
      <c r="L54" s="87"/>
      <c r="M54" s="87"/>
      <c r="N54" s="87" t="s">
        <v>9</v>
      </c>
      <c r="O54" s="87" t="s">
        <v>16</v>
      </c>
      <c r="P54" s="87" t="s">
        <v>21</v>
      </c>
      <c r="Q54" s="111" t="s">
        <v>41</v>
      </c>
      <c r="R54" s="75"/>
      <c r="S54" s="76"/>
      <c r="T54" s="101" t="s">
        <v>23</v>
      </c>
      <c r="U54" s="77" t="s">
        <v>24</v>
      </c>
      <c r="V54" s="78"/>
      <c r="W54" s="79"/>
      <c r="X54" s="80"/>
      <c r="Y54" s="80"/>
      <c r="Z54" s="67"/>
      <c r="AA54" s="67"/>
      <c r="AB54" s="110" t="s">
        <v>31</v>
      </c>
      <c r="AC54" s="67" t="s">
        <v>37</v>
      </c>
      <c r="AD54" s="67" t="s">
        <v>39</v>
      </c>
      <c r="AE54" s="67"/>
    </row>
    <row r="55" spans="1:31" s="6" customFormat="1" ht="18">
      <c r="A55" s="67"/>
      <c r="B55" s="116"/>
      <c r="C55" s="112" t="s">
        <v>2</v>
      </c>
      <c r="D55" s="68" t="s">
        <v>5</v>
      </c>
      <c r="E55" s="68"/>
      <c r="F55" s="68"/>
      <c r="G55" s="96" t="s">
        <v>52</v>
      </c>
      <c r="H55" s="68"/>
      <c r="J55" s="87"/>
      <c r="K55" s="87"/>
      <c r="L55" s="87"/>
      <c r="M55" s="87"/>
      <c r="N55" s="87" t="s">
        <v>10</v>
      </c>
      <c r="O55" s="87" t="s">
        <v>17</v>
      </c>
      <c r="P55" s="87" t="s">
        <v>22</v>
      </c>
      <c r="Q55" s="68"/>
      <c r="R55" s="75"/>
      <c r="S55" s="76"/>
      <c r="T55" s="68"/>
      <c r="U55" s="100" t="s">
        <v>25</v>
      </c>
      <c r="V55" s="78"/>
      <c r="W55" s="79"/>
      <c r="X55" s="80"/>
      <c r="Y55" s="80"/>
      <c r="Z55" s="67"/>
      <c r="AA55" s="67"/>
      <c r="AB55" s="67" t="s">
        <v>32</v>
      </c>
      <c r="AC55" s="108" t="s">
        <v>38</v>
      </c>
      <c r="AD55" s="109" t="s">
        <v>40</v>
      </c>
      <c r="AE55" s="67"/>
    </row>
    <row r="56" spans="1:31" s="6" customFormat="1" ht="18">
      <c r="A56" s="67"/>
      <c r="B56" s="116"/>
      <c r="C56" s="89" t="s">
        <v>3</v>
      </c>
      <c r="D56" s="68" t="s">
        <v>94</v>
      </c>
      <c r="E56" s="68"/>
      <c r="F56" s="68"/>
      <c r="G56" s="96" t="s">
        <v>52</v>
      </c>
      <c r="H56" s="68"/>
      <c r="J56" s="87"/>
      <c r="K56" s="87"/>
      <c r="L56" s="87"/>
      <c r="M56" s="87"/>
      <c r="N56" s="87" t="s">
        <v>11</v>
      </c>
      <c r="O56" s="87" t="s">
        <v>18</v>
      </c>
      <c r="P56" s="87"/>
      <c r="Q56" s="68"/>
      <c r="R56" s="75"/>
      <c r="S56" s="76"/>
      <c r="T56" s="68"/>
      <c r="U56" s="77" t="s">
        <v>26</v>
      </c>
      <c r="V56" s="78"/>
      <c r="W56" s="79"/>
      <c r="X56" s="80"/>
      <c r="Y56" s="80"/>
      <c r="Z56" s="67"/>
      <c r="AA56" s="67"/>
      <c r="AB56" s="67" t="s">
        <v>33</v>
      </c>
      <c r="AC56" s="67"/>
      <c r="AD56" s="67"/>
      <c r="AE56" s="67"/>
    </row>
    <row r="57" spans="1:31" s="6" customFormat="1" ht="18">
      <c r="A57" s="67"/>
      <c r="B57" s="116"/>
      <c r="C57" s="88" t="s">
        <v>0</v>
      </c>
      <c r="D57" s="68"/>
      <c r="E57" s="68"/>
      <c r="F57" s="68"/>
      <c r="G57" s="96"/>
      <c r="H57" s="68"/>
      <c r="J57" s="87"/>
      <c r="K57" s="87"/>
      <c r="L57" s="87"/>
      <c r="M57" s="87"/>
      <c r="N57" s="87" t="s">
        <v>12</v>
      </c>
      <c r="O57" s="87" t="s">
        <v>19</v>
      </c>
      <c r="P57" s="87"/>
      <c r="Q57" s="68"/>
      <c r="R57" s="75"/>
      <c r="S57" s="76"/>
      <c r="T57" s="68"/>
      <c r="U57" s="102" t="s">
        <v>27</v>
      </c>
      <c r="V57" s="78"/>
      <c r="W57" s="79"/>
      <c r="X57" s="80"/>
      <c r="Y57" s="80"/>
      <c r="Z57" s="67"/>
      <c r="AA57" s="67"/>
      <c r="AB57" s="67" t="s">
        <v>34</v>
      </c>
      <c r="AC57" s="67"/>
      <c r="AD57" s="67"/>
      <c r="AE57" s="67"/>
    </row>
    <row r="58" spans="1:31" s="6" customFormat="1" ht="18">
      <c r="A58" s="67"/>
      <c r="B58" s="116"/>
      <c r="C58" s="88" t="s">
        <v>0</v>
      </c>
      <c r="D58" s="68"/>
      <c r="E58" s="68"/>
      <c r="F58" s="68"/>
      <c r="G58" s="96"/>
      <c r="H58" s="68"/>
      <c r="J58" s="87"/>
      <c r="K58" s="87"/>
      <c r="L58" s="87"/>
      <c r="M58" s="87"/>
      <c r="N58" s="87" t="s">
        <v>13</v>
      </c>
      <c r="O58" s="87" t="s">
        <v>20</v>
      </c>
      <c r="P58" s="87"/>
      <c r="Q58" s="68"/>
      <c r="R58" s="75"/>
      <c r="S58" s="76"/>
      <c r="T58" s="68"/>
      <c r="U58" s="103" t="s">
        <v>28</v>
      </c>
      <c r="V58" s="78"/>
      <c r="W58" s="79"/>
      <c r="X58" s="80"/>
      <c r="Y58" s="80"/>
      <c r="Z58" s="67"/>
      <c r="AA58" s="67"/>
      <c r="AB58" s="106" t="s">
        <v>35</v>
      </c>
      <c r="AC58" s="67"/>
      <c r="AD58" s="67"/>
      <c r="AE58" s="67"/>
    </row>
    <row r="59" spans="1:31" s="6" customFormat="1" ht="18">
      <c r="A59" s="67"/>
      <c r="B59" s="116"/>
      <c r="C59" s="88"/>
      <c r="D59" s="68"/>
      <c r="E59" s="68"/>
      <c r="F59" s="68"/>
      <c r="G59" s="96"/>
      <c r="H59" s="68"/>
      <c r="J59" s="87"/>
      <c r="K59" s="87"/>
      <c r="L59" s="87"/>
      <c r="M59" s="87"/>
      <c r="N59" s="87" t="s">
        <v>14</v>
      </c>
      <c r="O59" s="87"/>
      <c r="P59" s="87"/>
      <c r="Q59" s="68"/>
      <c r="R59" s="75"/>
      <c r="S59" s="76"/>
      <c r="T59" s="68"/>
      <c r="U59" s="104" t="s">
        <v>29</v>
      </c>
      <c r="V59" s="78"/>
      <c r="W59" s="79"/>
      <c r="X59" s="80"/>
      <c r="Y59" s="80"/>
      <c r="Z59" s="67"/>
      <c r="AA59" s="67"/>
      <c r="AB59" s="107" t="s">
        <v>36</v>
      </c>
      <c r="AC59" s="67"/>
      <c r="AD59" s="67"/>
      <c r="AE59" s="67"/>
    </row>
    <row r="60" spans="1:31" s="7" customFormat="1" ht="18">
      <c r="A60" s="67"/>
      <c r="B60" s="116"/>
      <c r="C60" s="88"/>
      <c r="D60" s="68"/>
      <c r="E60" s="68"/>
      <c r="F60" s="68"/>
      <c r="G60" s="96"/>
      <c r="H60" s="68"/>
      <c r="J60" s="87"/>
      <c r="K60" s="87"/>
      <c r="L60" s="87"/>
      <c r="M60" s="87"/>
      <c r="N60" s="87" t="s">
        <v>15</v>
      </c>
      <c r="O60" s="87"/>
      <c r="P60" s="87"/>
      <c r="Q60" s="68"/>
      <c r="R60" s="75"/>
      <c r="S60" s="76"/>
      <c r="T60" s="68"/>
      <c r="U60" s="105" t="s">
        <v>30</v>
      </c>
      <c r="V60" s="78"/>
      <c r="W60" s="79"/>
      <c r="X60" s="80"/>
      <c r="Y60" s="80"/>
      <c r="Z60" s="67"/>
      <c r="AA60" s="67"/>
      <c r="AB60" s="67" t="s">
        <v>98</v>
      </c>
      <c r="AC60" s="67"/>
      <c r="AD60" s="67"/>
      <c r="AE60" s="67"/>
    </row>
    <row r="61" spans="1:31">
      <c r="A61" s="63"/>
      <c r="B61" s="116"/>
      <c r="C61" s="87"/>
      <c r="D61" s="65"/>
      <c r="E61" s="66"/>
      <c r="F61" s="66"/>
      <c r="G61" s="95"/>
      <c r="H61" s="63"/>
      <c r="J61" s="87"/>
      <c r="K61" s="87"/>
      <c r="L61" s="87"/>
      <c r="M61" s="87"/>
      <c r="N61" s="87"/>
      <c r="O61" s="87"/>
      <c r="P61" s="87"/>
      <c r="Q61" s="64"/>
      <c r="R61" s="69"/>
      <c r="S61" s="70"/>
      <c r="T61" s="64"/>
      <c r="U61" s="71"/>
      <c r="V61" s="72"/>
      <c r="W61" s="73"/>
      <c r="X61" s="74"/>
      <c r="Y61" s="74"/>
      <c r="Z61" s="63"/>
      <c r="AA61" s="63"/>
      <c r="AB61" s="63"/>
      <c r="AC61" s="63"/>
      <c r="AD61" s="63"/>
      <c r="AE61" s="63"/>
    </row>
    <row r="62" spans="1:31">
      <c r="A62" s="63"/>
      <c r="B62" s="116"/>
      <c r="C62" s="87"/>
      <c r="D62" s="65"/>
      <c r="E62" s="66"/>
      <c r="F62" s="66"/>
      <c r="G62" s="95"/>
      <c r="H62" s="63"/>
      <c r="J62" s="87"/>
      <c r="K62" s="87"/>
      <c r="L62" s="87"/>
      <c r="M62" s="87"/>
      <c r="N62" s="87"/>
      <c r="O62" s="87"/>
      <c r="P62" s="87"/>
      <c r="Q62" s="64"/>
      <c r="R62" s="69"/>
      <c r="S62" s="70"/>
      <c r="T62" s="64"/>
      <c r="U62" s="71"/>
      <c r="V62" s="72"/>
      <c r="W62" s="73"/>
      <c r="X62" s="74"/>
      <c r="Y62" s="74"/>
      <c r="Z62" s="63"/>
      <c r="AA62" s="63"/>
      <c r="AB62" s="63"/>
      <c r="AC62" s="63"/>
      <c r="AD62" s="63"/>
      <c r="AE62" s="63"/>
    </row>
    <row r="63" spans="1:31">
      <c r="G63" s="198"/>
      <c r="H63" s="19"/>
      <c r="I63" s="19"/>
      <c r="J63" s="199"/>
      <c r="K63" s="199"/>
      <c r="L63" s="199"/>
      <c r="M63" s="199"/>
      <c r="N63" s="199"/>
      <c r="O63" s="199"/>
      <c r="P63" s="199"/>
    </row>
    <row r="64" spans="1:31">
      <c r="G64" s="198"/>
      <c r="H64" s="19"/>
      <c r="I64" s="19"/>
      <c r="J64" s="199"/>
      <c r="K64" s="199"/>
      <c r="L64" s="199"/>
      <c r="M64" s="199"/>
      <c r="N64" s="199"/>
      <c r="O64" s="199"/>
      <c r="P64" s="199"/>
    </row>
    <row r="65" spans="7:16">
      <c r="G65" s="198"/>
      <c r="H65" s="19"/>
      <c r="I65" s="19"/>
      <c r="J65" s="199"/>
      <c r="K65" s="199"/>
      <c r="L65" s="199"/>
      <c r="M65" s="199"/>
      <c r="N65" s="199"/>
      <c r="O65" s="199"/>
      <c r="P65" s="199"/>
    </row>
    <row r="66" spans="7:16">
      <c r="G66" s="198"/>
      <c r="H66" s="19"/>
      <c r="I66" s="19"/>
      <c r="J66" s="199"/>
      <c r="K66" s="199"/>
      <c r="L66" s="199"/>
      <c r="M66" s="199"/>
      <c r="N66" s="199"/>
      <c r="O66" s="199"/>
      <c r="P66" s="199"/>
    </row>
    <row r="67" spans="7:16">
      <c r="G67" s="198"/>
      <c r="H67" s="19"/>
      <c r="I67" s="19"/>
      <c r="J67" s="199"/>
      <c r="K67" s="199"/>
      <c r="L67" s="199"/>
      <c r="M67" s="199"/>
      <c r="N67" s="199"/>
      <c r="O67" s="199"/>
      <c r="P67" s="199"/>
    </row>
    <row r="68" spans="7:16">
      <c r="G68" s="198"/>
      <c r="H68" s="19"/>
      <c r="I68" s="19"/>
      <c r="J68" s="199"/>
      <c r="K68" s="199"/>
      <c r="L68" s="199"/>
      <c r="M68" s="199"/>
      <c r="N68" s="199"/>
      <c r="O68" s="199"/>
      <c r="P68" s="199"/>
    </row>
    <row r="69" spans="7:16">
      <c r="G69" s="198"/>
      <c r="H69" s="19"/>
      <c r="I69" s="19"/>
      <c r="J69" s="199"/>
      <c r="K69" s="199"/>
      <c r="L69" s="199"/>
      <c r="M69" s="199"/>
      <c r="N69" s="199"/>
      <c r="O69" s="199"/>
      <c r="P69" s="199"/>
    </row>
    <row r="70" spans="7:16">
      <c r="G70" s="198"/>
      <c r="H70" s="19"/>
      <c r="I70" s="19"/>
      <c r="J70" s="199"/>
      <c r="K70" s="199"/>
      <c r="L70" s="199"/>
      <c r="M70" s="199"/>
      <c r="N70" s="199"/>
      <c r="O70" s="199"/>
      <c r="P70" s="199"/>
    </row>
    <row r="71" spans="7:16">
      <c r="G71" s="198"/>
      <c r="H71" s="19"/>
      <c r="I71" s="19"/>
      <c r="J71" s="200"/>
      <c r="K71" s="201"/>
      <c r="L71" s="201"/>
      <c r="M71" s="202"/>
      <c r="N71" s="203"/>
      <c r="O71" s="203"/>
      <c r="P71" s="203"/>
    </row>
    <row r="72" spans="7:16">
      <c r="G72" s="198"/>
      <c r="H72" s="19"/>
      <c r="I72" s="19"/>
      <c r="J72" s="200"/>
      <c r="K72" s="201"/>
      <c r="L72" s="201"/>
      <c r="M72" s="202"/>
      <c r="N72" s="203"/>
      <c r="O72" s="203"/>
      <c r="P72" s="203"/>
    </row>
    <row r="73" spans="7:16">
      <c r="G73" s="198"/>
      <c r="H73" s="19"/>
      <c r="I73" s="19"/>
      <c r="J73" s="200"/>
      <c r="K73" s="201"/>
      <c r="L73" s="201"/>
      <c r="M73" s="202"/>
      <c r="N73" s="203"/>
      <c r="O73" s="203"/>
      <c r="P73" s="203"/>
    </row>
    <row r="74" spans="7:16">
      <c r="G74" s="198"/>
      <c r="H74" s="19"/>
      <c r="I74" s="19"/>
      <c r="J74" s="200"/>
      <c r="K74" s="201"/>
      <c r="L74" s="201"/>
      <c r="M74" s="202"/>
      <c r="N74" s="203"/>
      <c r="O74" s="203"/>
      <c r="P74" s="203"/>
    </row>
    <row r="75" spans="7:16">
      <c r="G75" s="198"/>
      <c r="H75" s="19"/>
      <c r="I75" s="19"/>
      <c r="J75" s="200"/>
      <c r="K75" s="201"/>
      <c r="L75" s="201"/>
      <c r="M75" s="202"/>
      <c r="N75" s="203"/>
      <c r="O75" s="203"/>
      <c r="P75" s="203"/>
    </row>
    <row r="76" spans="7:16">
      <c r="G76" s="198"/>
      <c r="H76" s="19"/>
      <c r="I76" s="19"/>
      <c r="J76" s="200"/>
      <c r="K76" s="201"/>
      <c r="L76" s="201"/>
      <c r="M76" s="202"/>
      <c r="N76" s="203"/>
      <c r="O76" s="203"/>
      <c r="P76" s="203"/>
    </row>
    <row r="77" spans="7:16">
      <c r="G77" s="198"/>
      <c r="H77" s="19"/>
      <c r="I77" s="19"/>
      <c r="J77" s="200"/>
      <c r="K77" s="201"/>
      <c r="L77" s="201"/>
      <c r="M77" s="202"/>
      <c r="N77" s="203"/>
      <c r="O77" s="203"/>
      <c r="P77" s="203"/>
    </row>
    <row r="78" spans="7:16">
      <c r="G78" s="198"/>
      <c r="H78" s="19"/>
      <c r="I78" s="19"/>
      <c r="J78" s="200"/>
      <c r="K78" s="201"/>
      <c r="L78" s="201"/>
      <c r="M78" s="202"/>
      <c r="N78" s="203"/>
      <c r="O78" s="203"/>
      <c r="P78" s="203"/>
    </row>
    <row r="79" spans="7:16">
      <c r="G79" s="198"/>
      <c r="H79" s="19"/>
      <c r="I79" s="19"/>
      <c r="J79" s="200"/>
      <c r="K79" s="201"/>
      <c r="L79" s="201"/>
      <c r="M79" s="202"/>
      <c r="N79" s="203"/>
      <c r="O79" s="203"/>
      <c r="P79" s="203"/>
    </row>
    <row r="80" spans="7:16">
      <c r="G80" s="198"/>
      <c r="H80" s="19"/>
      <c r="I80" s="19"/>
      <c r="J80" s="200"/>
      <c r="K80" s="201"/>
      <c r="L80" s="201"/>
      <c r="M80" s="202"/>
      <c r="N80" s="203"/>
      <c r="O80" s="203"/>
      <c r="P80" s="203"/>
    </row>
    <row r="81" spans="7:16">
      <c r="G81" s="198"/>
      <c r="H81" s="19"/>
      <c r="I81" s="19"/>
      <c r="J81" s="200"/>
      <c r="K81" s="201"/>
      <c r="L81" s="201"/>
      <c r="M81" s="202"/>
      <c r="N81" s="203"/>
      <c r="O81" s="203"/>
      <c r="P81" s="203"/>
    </row>
    <row r="82" spans="7:16">
      <c r="G82" s="198"/>
      <c r="H82" s="19"/>
      <c r="I82" s="19"/>
      <c r="J82" s="200"/>
      <c r="K82" s="201"/>
      <c r="L82" s="201"/>
      <c r="M82" s="202"/>
      <c r="N82" s="203"/>
      <c r="O82" s="203"/>
      <c r="P82" s="203"/>
    </row>
    <row r="83" spans="7:16">
      <c r="G83" s="198"/>
      <c r="H83" s="19"/>
      <c r="I83" s="19"/>
      <c r="J83" s="200"/>
      <c r="K83" s="201"/>
      <c r="L83" s="201"/>
      <c r="M83" s="202"/>
      <c r="N83" s="203"/>
      <c r="O83" s="203"/>
      <c r="P83" s="203"/>
    </row>
    <row r="84" spans="7:16">
      <c r="G84" s="198"/>
      <c r="H84" s="19"/>
      <c r="I84" s="19"/>
      <c r="J84" s="200"/>
      <c r="K84" s="201"/>
      <c r="L84" s="201"/>
      <c r="M84" s="202"/>
      <c r="N84" s="203"/>
      <c r="O84" s="203"/>
      <c r="P84" s="203"/>
    </row>
    <row r="85" spans="7:16">
      <c r="G85" s="198"/>
      <c r="H85" s="19"/>
      <c r="I85" s="19"/>
      <c r="J85" s="200"/>
      <c r="K85" s="201"/>
      <c r="L85" s="201"/>
      <c r="M85" s="202"/>
      <c r="N85" s="203"/>
      <c r="O85" s="203"/>
      <c r="P85" s="203"/>
    </row>
    <row r="86" spans="7:16">
      <c r="G86" s="198"/>
      <c r="H86" s="19"/>
      <c r="I86" s="19"/>
      <c r="J86" s="200"/>
      <c r="K86" s="201"/>
      <c r="L86" s="201"/>
      <c r="M86" s="202"/>
      <c r="N86" s="203"/>
      <c r="O86" s="203"/>
      <c r="P86" s="203"/>
    </row>
    <row r="87" spans="7:16">
      <c r="G87" s="198"/>
      <c r="H87" s="19"/>
      <c r="I87" s="19"/>
      <c r="J87" s="200"/>
      <c r="K87" s="201"/>
      <c r="L87" s="201"/>
      <c r="M87" s="202"/>
      <c r="N87" s="203"/>
      <c r="O87" s="203"/>
      <c r="P87" s="203"/>
    </row>
    <row r="88" spans="7:16">
      <c r="G88" s="198"/>
      <c r="H88" s="19"/>
      <c r="I88" s="19"/>
      <c r="J88" s="200"/>
      <c r="K88" s="201"/>
      <c r="L88" s="201"/>
      <c r="M88" s="202"/>
      <c r="N88" s="203"/>
      <c r="O88" s="203"/>
      <c r="P88" s="203"/>
    </row>
    <row r="89" spans="7:16">
      <c r="G89" s="198"/>
      <c r="H89" s="19"/>
      <c r="I89" s="19"/>
      <c r="J89" s="200"/>
      <c r="K89" s="201"/>
      <c r="L89" s="201"/>
      <c r="M89" s="202"/>
      <c r="N89" s="203"/>
      <c r="O89" s="203"/>
      <c r="P89" s="203"/>
    </row>
    <row r="90" spans="7:16">
      <c r="G90" s="198"/>
      <c r="H90" s="19"/>
      <c r="I90" s="19"/>
      <c r="J90" s="200"/>
      <c r="K90" s="201"/>
      <c r="L90" s="201"/>
      <c r="M90" s="202"/>
      <c r="N90" s="203"/>
      <c r="O90" s="203"/>
      <c r="P90" s="203"/>
    </row>
    <row r="91" spans="7:16">
      <c r="G91" s="198"/>
      <c r="H91" s="19"/>
      <c r="I91" s="19"/>
      <c r="J91" s="200"/>
      <c r="K91" s="201"/>
      <c r="L91" s="201"/>
      <c r="M91" s="202"/>
      <c r="N91" s="203"/>
      <c r="O91" s="203"/>
      <c r="P91" s="203"/>
    </row>
    <row r="92" spans="7:16">
      <c r="G92" s="198"/>
      <c r="H92" s="19"/>
      <c r="I92" s="19"/>
      <c r="J92" s="200"/>
      <c r="K92" s="201"/>
      <c r="L92" s="201"/>
      <c r="M92" s="202"/>
      <c r="N92" s="203"/>
      <c r="O92" s="203"/>
      <c r="P92" s="203"/>
    </row>
    <row r="93" spans="7:16">
      <c r="G93" s="198"/>
      <c r="H93" s="19"/>
      <c r="I93" s="19"/>
      <c r="J93" s="200"/>
      <c r="K93" s="201"/>
      <c r="L93" s="201"/>
      <c r="M93" s="202"/>
      <c r="N93" s="203"/>
      <c r="O93" s="203"/>
      <c r="P93" s="203"/>
    </row>
    <row r="94" spans="7:16">
      <c r="G94" s="198"/>
      <c r="H94" s="19"/>
      <c r="I94" s="19"/>
      <c r="J94" s="200"/>
      <c r="K94" s="201"/>
      <c r="L94" s="201"/>
      <c r="M94" s="202"/>
      <c r="N94" s="203"/>
      <c r="O94" s="203"/>
      <c r="P94" s="203"/>
    </row>
    <row r="95" spans="7:16">
      <c r="G95" s="198"/>
      <c r="H95" s="19"/>
      <c r="I95" s="19"/>
      <c r="J95" s="200"/>
      <c r="K95" s="201"/>
      <c r="L95" s="201"/>
      <c r="M95" s="202"/>
      <c r="N95" s="203"/>
      <c r="O95" s="203"/>
      <c r="P95" s="203"/>
    </row>
    <row r="96" spans="7:16">
      <c r="G96" s="198"/>
      <c r="H96" s="19"/>
      <c r="I96" s="19"/>
      <c r="J96" s="200"/>
      <c r="K96" s="201"/>
      <c r="L96" s="201"/>
      <c r="M96" s="202"/>
      <c r="N96" s="203"/>
      <c r="O96" s="203"/>
      <c r="P96" s="203"/>
    </row>
    <row r="97" spans="7:16">
      <c r="G97" s="198"/>
      <c r="H97" s="19"/>
      <c r="I97" s="19"/>
      <c r="J97" s="200"/>
      <c r="K97" s="201"/>
      <c r="L97" s="201"/>
      <c r="M97" s="202"/>
      <c r="N97" s="203"/>
      <c r="O97" s="203"/>
      <c r="P97" s="203"/>
    </row>
    <row r="98" spans="7:16">
      <c r="G98" s="198"/>
      <c r="H98" s="19"/>
      <c r="I98" s="19"/>
      <c r="J98" s="200"/>
      <c r="K98" s="201"/>
      <c r="L98" s="201"/>
      <c r="M98" s="202"/>
      <c r="N98" s="203"/>
      <c r="O98" s="203"/>
      <c r="P98" s="203"/>
    </row>
    <row r="99" spans="7:16">
      <c r="G99" s="198"/>
      <c r="H99" s="19"/>
      <c r="I99" s="19"/>
      <c r="J99" s="200"/>
      <c r="K99" s="201"/>
      <c r="L99" s="201"/>
      <c r="M99" s="202"/>
      <c r="N99" s="203"/>
      <c r="O99" s="203"/>
      <c r="P99" s="203"/>
    </row>
    <row r="100" spans="7:16">
      <c r="G100" s="198"/>
      <c r="H100" s="19"/>
      <c r="I100" s="19"/>
      <c r="J100" s="200"/>
      <c r="K100" s="201"/>
      <c r="L100" s="201"/>
      <c r="M100" s="202"/>
      <c r="N100" s="203"/>
      <c r="O100" s="203"/>
      <c r="P100" s="203"/>
    </row>
    <row r="101" spans="7:16">
      <c r="G101" s="198"/>
      <c r="H101" s="19"/>
      <c r="I101" s="19"/>
      <c r="J101" s="200"/>
      <c r="K101" s="201"/>
      <c r="L101" s="201"/>
      <c r="M101" s="202"/>
      <c r="N101" s="203"/>
      <c r="O101" s="203"/>
      <c r="P101" s="203"/>
    </row>
    <row r="102" spans="7:16">
      <c r="G102" s="198"/>
      <c r="H102" s="19"/>
      <c r="I102" s="19"/>
      <c r="J102" s="200"/>
      <c r="K102" s="201"/>
      <c r="L102" s="201"/>
      <c r="M102" s="202"/>
      <c r="N102" s="203"/>
      <c r="O102" s="203"/>
      <c r="P102" s="203"/>
    </row>
    <row r="103" spans="7:16">
      <c r="G103" s="198"/>
      <c r="H103" s="19"/>
      <c r="I103" s="19"/>
      <c r="J103" s="200"/>
      <c r="K103" s="201"/>
      <c r="L103" s="201"/>
      <c r="M103" s="202"/>
      <c r="N103" s="203"/>
      <c r="O103" s="203"/>
      <c r="P103" s="203"/>
    </row>
  </sheetData>
  <conditionalFormatting sqref="A55">
    <cfRule type="duplicateValues" dxfId="113" priority="266"/>
    <cfRule type="duplicateValues" dxfId="112" priority="291"/>
    <cfRule type="duplicateValues" dxfId="111" priority="315"/>
    <cfRule type="duplicateValues" dxfId="110" priority="328"/>
    <cfRule type="duplicateValues" dxfId="109" priority="338"/>
    <cfRule type="duplicateValues" dxfId="108" priority="389"/>
    <cfRule type="duplicateValues" dxfId="107" priority="415"/>
    <cfRule type="duplicateValues" dxfId="106" priority="436"/>
    <cfRule type="duplicateValues" dxfId="105" priority="453"/>
    <cfRule type="duplicateValues" dxfId="104" priority="466"/>
    <cfRule type="duplicateValues" dxfId="103" priority="474"/>
    <cfRule type="duplicateValues" dxfId="102" priority="554"/>
    <cfRule type="duplicateValues" dxfId="101" priority="597"/>
    <cfRule type="duplicateValues" dxfId="100" priority="644"/>
    <cfRule type="duplicateValues" dxfId="99" priority="669"/>
    <cfRule type="duplicateValues" dxfId="98" priority="710"/>
    <cfRule type="duplicateValues" dxfId="97" priority="734"/>
    <cfRule type="duplicateValues" dxfId="96" priority="790"/>
  </conditionalFormatting>
  <conditionalFormatting sqref="D4">
    <cfRule type="duplicateValues" dxfId="95" priority="289"/>
    <cfRule type="duplicateValues" dxfId="94" priority="313"/>
    <cfRule type="duplicateValues" dxfId="93" priority="326"/>
    <cfRule type="duplicateValues" dxfId="92" priority="336"/>
    <cfRule type="duplicateValues" dxfId="91" priority="387"/>
    <cfRule type="duplicateValues" dxfId="90" priority="413"/>
    <cfRule type="duplicateValues" dxfId="89" priority="434"/>
    <cfRule type="duplicateValues" dxfId="88" priority="451"/>
    <cfRule type="duplicateValues" dxfId="87" priority="464"/>
    <cfRule type="duplicateValues" dxfId="86" priority="472"/>
    <cfRule type="duplicateValues" dxfId="85" priority="552"/>
    <cfRule type="duplicateValues" dxfId="84" priority="595"/>
    <cfRule type="duplicateValues" dxfId="83" priority="642"/>
    <cfRule type="duplicateValues" dxfId="82" priority="667"/>
    <cfRule type="duplicateValues" dxfId="81" priority="708"/>
    <cfRule type="duplicateValues" dxfId="80" priority="732"/>
    <cfRule type="duplicateValues" dxfId="79" priority="789"/>
  </conditionalFormatting>
  <conditionalFormatting sqref="G14">
    <cfRule type="duplicateValues" dxfId="78" priority="751"/>
    <cfRule type="duplicateValues" dxfId="77" priority="753"/>
  </conditionalFormatting>
  <conditionalFormatting sqref="C14">
    <cfRule type="duplicateValues" dxfId="76" priority="752"/>
  </conditionalFormatting>
  <conditionalFormatting sqref="Q54">
    <cfRule type="duplicateValues" dxfId="75" priority="388"/>
    <cfRule type="duplicateValues" dxfId="74" priority="465"/>
    <cfRule type="duplicateValues" dxfId="73" priority="733"/>
  </conditionalFormatting>
  <conditionalFormatting sqref="T54">
    <cfRule type="duplicateValues" dxfId="72" priority="709"/>
  </conditionalFormatting>
  <conditionalFormatting sqref="U54">
    <cfRule type="duplicateValues" dxfId="71" priority="452"/>
    <cfRule type="duplicateValues" dxfId="70" priority="596"/>
  </conditionalFormatting>
  <conditionalFormatting sqref="D54">
    <cfRule type="duplicateValues" dxfId="69" priority="414"/>
    <cfRule type="duplicateValues" dxfId="68" priority="553"/>
  </conditionalFormatting>
  <conditionalFormatting sqref="W2">
    <cfRule type="duplicateValues" dxfId="67" priority="500"/>
  </conditionalFormatting>
  <conditionalFormatting sqref="W2:W52">
    <cfRule type="cellIs" dxfId="66" priority="498" operator="lessThan">
      <formula>6</formula>
    </cfRule>
    <cfRule type="duplicateValues" dxfId="65" priority="499"/>
  </conditionalFormatting>
  <conditionalFormatting sqref="W1:W1048576">
    <cfRule type="duplicateValues" dxfId="64" priority="497"/>
  </conditionalFormatting>
  <conditionalFormatting sqref="W9">
    <cfRule type="duplicateValues" dxfId="63" priority="496"/>
  </conditionalFormatting>
  <conditionalFormatting sqref="W4:W5">
    <cfRule type="duplicateValues" dxfId="62" priority="495"/>
  </conditionalFormatting>
  <conditionalFormatting sqref="Y6">
    <cfRule type="duplicateValues" dxfId="61" priority="494"/>
  </conditionalFormatting>
  <conditionalFormatting sqref="F19:F25 E19:E20 E22:E24 E28:F65536">
    <cfRule type="duplicateValues" dxfId="60" priority="348"/>
    <cfRule type="duplicateValues" dxfId="59" priority="354"/>
    <cfRule type="duplicateValues" dxfId="58" priority="479"/>
    <cfRule type="duplicateValues" dxfId="57" priority="485"/>
    <cfRule type="duplicateValues" dxfId="56" priority="491"/>
  </conditionalFormatting>
  <conditionalFormatting sqref="G54">
    <cfRule type="duplicateValues" dxfId="55" priority="473"/>
  </conditionalFormatting>
  <conditionalFormatting sqref="G7">
    <cfRule type="duplicateValues" dxfId="54" priority="339"/>
    <cfRule type="duplicateValues" dxfId="53" priority="344"/>
  </conditionalFormatting>
  <conditionalFormatting sqref="D56">
    <cfRule type="duplicateValues" dxfId="52" priority="265"/>
  </conditionalFormatting>
  <conditionalFormatting sqref="G13">
    <cfRule type="duplicateValues" dxfId="51" priority="255"/>
  </conditionalFormatting>
  <conditionalFormatting sqref="E20:F20">
    <cfRule type="duplicateValues" dxfId="50" priority="171"/>
    <cfRule type="duplicateValues" dxfId="49" priority="172"/>
  </conditionalFormatting>
  <conditionalFormatting sqref="D18">
    <cfRule type="duplicateValues" dxfId="48" priority="120"/>
  </conditionalFormatting>
  <conditionalFormatting sqref="D18">
    <cfRule type="duplicateValues" dxfId="47" priority="61"/>
  </conditionalFormatting>
  <conditionalFormatting sqref="G15">
    <cfRule type="duplicateValues" dxfId="46" priority="17"/>
    <cfRule type="duplicateValues" dxfId="45" priority="18"/>
  </conditionalFormatting>
  <conditionalFormatting sqref="D15 D18">
    <cfRule type="duplicateValues" dxfId="44" priority="16"/>
  </conditionalFormatting>
  <conditionalFormatting sqref="D1">
    <cfRule type="duplicateValues" dxfId="43" priority="13"/>
  </conditionalFormatting>
  <conditionalFormatting sqref="D38">
    <cfRule type="duplicateValues" dxfId="42" priority="11"/>
  </conditionalFormatting>
  <conditionalFormatting sqref="E26:F27">
    <cfRule type="duplicateValues" dxfId="41" priority="6"/>
    <cfRule type="duplicateValues" dxfId="40" priority="7"/>
    <cfRule type="duplicateValues" dxfId="39" priority="8"/>
    <cfRule type="duplicateValues" dxfId="38" priority="9"/>
    <cfRule type="duplicateValues" dxfId="37" priority="10"/>
  </conditionalFormatting>
  <conditionalFormatting sqref="C30">
    <cfRule type="duplicateValues" dxfId="36" priority="1"/>
    <cfRule type="duplicateValues" dxfId="35" priority="2"/>
    <cfRule type="duplicateValues" dxfId="34" priority="3"/>
    <cfRule type="duplicateValues" dxfId="33" priority="4"/>
    <cfRule type="duplicateValues" dxfId="32" priority="5"/>
  </conditionalFormatting>
  <dataValidations count="4">
    <dataValidation type="decimal" allowBlank="1" showInputMessage="1" showErrorMessage="1" error="0.1 - 12.0 Laang" prompt="0.1 - 12.0 Laang" sqref="G19">
      <formula1>0.1</formula1>
      <formula2>12</formula2>
    </dataValidation>
    <dataValidation type="decimal" allowBlank="1" showInputMessage="1" showErrorMessage="1" error="0.1  -  12.00" prompt="0.1  -  12.00" sqref="E19:F19">
      <formula1>0</formula1>
      <formula2>12.5</formula2>
    </dataValidation>
    <dataValidation type="list" allowBlank="1" showInputMessage="1" showErrorMessage="1" sqref="D38 D1 D18">
      <formula1>$M$2:$M$45</formula1>
    </dataValidation>
    <dataValidation type="list" allowBlank="1" showInputMessage="1" showErrorMessage="1" sqref="D12 D5 D6 D7 D8 D9 D10 D11 D13 D14 D15 D16 D17">
      <formula1>$M$2:$M$44</formula1>
    </dataValidation>
  </dataValidations>
  <pageMargins left="0.7" right="0.7" top="0.75" bottom="0.75" header="0.3" footer="0.3"/>
  <pageSetup orientation="portrait" r:id="rId1"/>
  <ignoredErrors>
    <ignoredError sqref="G16 K39" formula="1"/>
  </ignoredErrors>
  <drawing r:id="rId2"/>
  <legacyDrawing r:id="rId3"/>
  <controls>
    <control shapeId="1114" r:id="rId4" name="Cb_Srp"/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RETAILER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LGw7u</cp:lastModifiedBy>
  <dcterms:created xsi:type="dcterms:W3CDTF">2004-01-01T16:13:15Z</dcterms:created>
  <dcterms:modified xsi:type="dcterms:W3CDTF">2020-04-07T02:41:04Z</dcterms:modified>
</cp:coreProperties>
</file>